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3rd year BITS notes\3-2\AE\auto\"/>
    </mc:Choice>
  </mc:AlternateContent>
  <xr:revisionPtr revIDLastSave="0" documentId="13_ncr:1_{21713CBB-ED17-4591-8553-16514BD41ADE}" xr6:coauthVersionLast="47" xr6:coauthVersionMax="47" xr10:uidLastSave="{00000000-0000-0000-0000-000000000000}"/>
  <bookViews>
    <workbookView xWindow="-108" yWindow="-108" windowWidth="23256" windowHeight="13896" firstSheet="2" activeTab="6" xr2:uid="{00000000-000D-0000-FFFF-FFFF00000000}"/>
  </bookViews>
  <sheets>
    <sheet name="FD" sheetId="1" r:id="rId1"/>
    <sheet name="FD all indicators" sheetId="2" r:id="rId2"/>
    <sheet name="INST" sheetId="3" r:id="rId3"/>
    <sheet name="INST all indicators" sheetId="4" r:id="rId4"/>
    <sheet name="Graphs of FD &amp; INST" sheetId="5" r:id="rId5"/>
    <sheet name="FDxINST" sheetId="6" r:id="rId6"/>
    <sheet name="REN" sheetId="7" r:id="rId7"/>
    <sheet name="RGDPPC" sheetId="8" r:id="rId8"/>
    <sheet name="POP" sheetId="9" r:id="rId9"/>
    <sheet name="FDI" sheetId="10" r:id="rId10"/>
    <sheet name="APPENDIX "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DPjpnc4ap/mZMLx3ZWTEzTrM3y/kUCz+nhS68rBa/g="/>
    </ext>
  </extLst>
</workbook>
</file>

<file path=xl/calcChain.xml><?xml version="1.0" encoding="utf-8"?>
<calcChain xmlns="http://schemas.openxmlformats.org/spreadsheetml/2006/main">
  <c r="I8" i="11" l="1"/>
  <c r="H8" i="11"/>
  <c r="G8" i="11"/>
  <c r="F8" i="11"/>
  <c r="E8" i="11"/>
  <c r="D8" i="11"/>
  <c r="C8" i="11"/>
  <c r="I7" i="11"/>
  <c r="H7" i="11"/>
  <c r="G7" i="11"/>
  <c r="F7" i="11"/>
  <c r="E7" i="11"/>
  <c r="D7" i="11"/>
  <c r="C7" i="11"/>
  <c r="I6" i="11"/>
  <c r="H6" i="11"/>
  <c r="G6" i="11"/>
  <c r="F6" i="11"/>
  <c r="E6" i="11"/>
  <c r="D6" i="11"/>
  <c r="C6" i="11"/>
  <c r="I5" i="11"/>
  <c r="H5" i="11"/>
  <c r="G5" i="11"/>
  <c r="F5" i="11"/>
  <c r="E5" i="11"/>
  <c r="D5" i="11"/>
  <c r="C5" i="11"/>
  <c r="I4" i="11"/>
  <c r="H4" i="11"/>
  <c r="G4" i="11"/>
  <c r="F4" i="11"/>
  <c r="E4" i="11"/>
  <c r="D4" i="11"/>
  <c r="C4" i="11"/>
  <c r="I3" i="11"/>
  <c r="H3" i="11"/>
  <c r="G3" i="11"/>
  <c r="F3" i="11"/>
  <c r="E3" i="11"/>
  <c r="D3" i="11"/>
  <c r="C3" i="11"/>
  <c r="AB28" i="10"/>
  <c r="AB27" i="10"/>
  <c r="AB26" i="10"/>
  <c r="AB25" i="10"/>
  <c r="AB24" i="10"/>
  <c r="AB23" i="10"/>
  <c r="AB22" i="10"/>
  <c r="AB21" i="10"/>
  <c r="AB20" i="10"/>
  <c r="AB19" i="10"/>
  <c r="AB18" i="10"/>
  <c r="AB17" i="10"/>
  <c r="AB16" i="10"/>
  <c r="AB15" i="10"/>
  <c r="AB14" i="10"/>
  <c r="AB13" i="10"/>
  <c r="AB12" i="10"/>
  <c r="AB11" i="10"/>
  <c r="AB10" i="10"/>
  <c r="AB9" i="10"/>
  <c r="AB8" i="10"/>
  <c r="AB7" i="10"/>
  <c r="AB6" i="10"/>
  <c r="AB5" i="10"/>
  <c r="AB4" i="10"/>
  <c r="AB3" i="10"/>
  <c r="AB2" i="10"/>
  <c r="AB28" i="9"/>
  <c r="AB27" i="9"/>
  <c r="AB26" i="9"/>
  <c r="AB25" i="9"/>
  <c r="AB24" i="9"/>
  <c r="AB23" i="9"/>
  <c r="AB22" i="9"/>
  <c r="AB21" i="9"/>
  <c r="AB20" i="9"/>
  <c r="AB19" i="9"/>
  <c r="AB18" i="9"/>
  <c r="AB17" i="9"/>
  <c r="AB16" i="9"/>
  <c r="AB15" i="9"/>
  <c r="AB14" i="9"/>
  <c r="AB13" i="9"/>
  <c r="AB12" i="9"/>
  <c r="AB11" i="9"/>
  <c r="AB10" i="9"/>
  <c r="AB9" i="9"/>
  <c r="AB8" i="9"/>
  <c r="AB7" i="9"/>
  <c r="AB6" i="9"/>
  <c r="AB5" i="9"/>
  <c r="AB4" i="9"/>
  <c r="AB3" i="9"/>
  <c r="AB2" i="9"/>
  <c r="AB28" i="8"/>
  <c r="AB27" i="8"/>
  <c r="AB26" i="8"/>
  <c r="AB25" i="8"/>
  <c r="AB24" i="8"/>
  <c r="AB23" i="8"/>
  <c r="AB22" i="8"/>
  <c r="AB21" i="8"/>
  <c r="AB20" i="8"/>
  <c r="AB19" i="8"/>
  <c r="AB18" i="8"/>
  <c r="AB17" i="8"/>
  <c r="AB16" i="8"/>
  <c r="AB15" i="8"/>
  <c r="AB14" i="8"/>
  <c r="AB13" i="8"/>
  <c r="AB12" i="8"/>
  <c r="AB11" i="8"/>
  <c r="AB10" i="8"/>
  <c r="AB9" i="8"/>
  <c r="AB8" i="8"/>
  <c r="AB7" i="8"/>
  <c r="AB6" i="8"/>
  <c r="AB5" i="8"/>
  <c r="AB4" i="8"/>
  <c r="AB3" i="8"/>
  <c r="AB2" i="8"/>
  <c r="Y28" i="7"/>
  <c r="Y27" i="7"/>
  <c r="Y26" i="7"/>
  <c r="Y25" i="7"/>
  <c r="Y24" i="7"/>
  <c r="Y23" i="7"/>
  <c r="Y22" i="7"/>
  <c r="Y21" i="7"/>
  <c r="Y20" i="7"/>
  <c r="Y19" i="7"/>
  <c r="Y18" i="7"/>
  <c r="Y17" i="7"/>
  <c r="Y16" i="7"/>
  <c r="Y15" i="7"/>
  <c r="Y14" i="7"/>
  <c r="Y13" i="7"/>
  <c r="Y12" i="7"/>
  <c r="Y11" i="7"/>
  <c r="Y10" i="7"/>
  <c r="Y9" i="7"/>
  <c r="Y8" i="7"/>
  <c r="Y7" i="7"/>
  <c r="Y6" i="7"/>
  <c r="Y5" i="7"/>
  <c r="Y4" i="7"/>
  <c r="Y3" i="7"/>
  <c r="Y2" i="7"/>
  <c r="Z28" i="6"/>
  <c r="Y28" i="6"/>
  <c r="X28" i="6"/>
  <c r="W28" i="6"/>
  <c r="V28" i="6"/>
  <c r="U28" i="6"/>
  <c r="T28" i="6"/>
  <c r="S28" i="6"/>
  <c r="R28" i="6"/>
  <c r="Q28" i="6"/>
  <c r="P28" i="6"/>
  <c r="O28" i="6"/>
  <c r="N28" i="6"/>
  <c r="M28" i="6"/>
  <c r="L28" i="6"/>
  <c r="K28" i="6"/>
  <c r="J28" i="6"/>
  <c r="I28" i="6"/>
  <c r="H28" i="6"/>
  <c r="G28" i="6"/>
  <c r="F28" i="6"/>
  <c r="E28" i="6"/>
  <c r="Z27" i="6"/>
  <c r="Y27" i="6"/>
  <c r="X27" i="6"/>
  <c r="W27" i="6"/>
  <c r="V27" i="6"/>
  <c r="U27" i="6"/>
  <c r="T27" i="6"/>
  <c r="S27" i="6"/>
  <c r="R27" i="6"/>
  <c r="Q27" i="6"/>
  <c r="P27" i="6"/>
  <c r="O27" i="6"/>
  <c r="N27" i="6"/>
  <c r="M27" i="6"/>
  <c r="L27" i="6"/>
  <c r="K27" i="6"/>
  <c r="J27" i="6"/>
  <c r="I27" i="6"/>
  <c r="H27" i="6"/>
  <c r="G27" i="6"/>
  <c r="F27" i="6"/>
  <c r="E27" i="6"/>
  <c r="Z26" i="6"/>
  <c r="Y26" i="6"/>
  <c r="X26" i="6"/>
  <c r="W26" i="6"/>
  <c r="V26" i="6"/>
  <c r="U26" i="6"/>
  <c r="T26" i="6"/>
  <c r="S26" i="6"/>
  <c r="R26" i="6"/>
  <c r="Q26" i="6"/>
  <c r="P26" i="6"/>
  <c r="O26" i="6"/>
  <c r="N26" i="6"/>
  <c r="M26" i="6"/>
  <c r="L26" i="6"/>
  <c r="K26" i="6"/>
  <c r="J26" i="6"/>
  <c r="I26" i="6"/>
  <c r="H26" i="6"/>
  <c r="G26" i="6"/>
  <c r="F26" i="6"/>
  <c r="E26" i="6"/>
  <c r="Z25" i="6"/>
  <c r="Y25" i="6"/>
  <c r="X25" i="6"/>
  <c r="W25" i="6"/>
  <c r="V25" i="6"/>
  <c r="U25" i="6"/>
  <c r="T25" i="6"/>
  <c r="S25" i="6"/>
  <c r="R25" i="6"/>
  <c r="Q25" i="6"/>
  <c r="P25" i="6"/>
  <c r="O25" i="6"/>
  <c r="N25" i="6"/>
  <c r="M25" i="6"/>
  <c r="L25" i="6"/>
  <c r="K25" i="6"/>
  <c r="J25" i="6"/>
  <c r="I25" i="6"/>
  <c r="H25" i="6"/>
  <c r="G25" i="6"/>
  <c r="F25" i="6"/>
  <c r="E25" i="6"/>
  <c r="Z24" i="6"/>
  <c r="Y24" i="6"/>
  <c r="X24" i="6"/>
  <c r="W24" i="6"/>
  <c r="V24" i="6"/>
  <c r="U24" i="6"/>
  <c r="T24" i="6"/>
  <c r="S24" i="6"/>
  <c r="R24" i="6"/>
  <c r="Q24" i="6"/>
  <c r="P24" i="6"/>
  <c r="O24" i="6"/>
  <c r="N24" i="6"/>
  <c r="M24" i="6"/>
  <c r="L24" i="6"/>
  <c r="K24" i="6"/>
  <c r="J24" i="6"/>
  <c r="I24" i="6"/>
  <c r="H24" i="6"/>
  <c r="G24" i="6"/>
  <c r="F24" i="6"/>
  <c r="E24" i="6"/>
  <c r="Z23" i="6"/>
  <c r="Y23" i="6"/>
  <c r="X23" i="6"/>
  <c r="W23" i="6"/>
  <c r="V23" i="6"/>
  <c r="U23" i="6"/>
  <c r="T23" i="6"/>
  <c r="S23" i="6"/>
  <c r="R23" i="6"/>
  <c r="Q23" i="6"/>
  <c r="P23" i="6"/>
  <c r="O23" i="6"/>
  <c r="N23" i="6"/>
  <c r="M23" i="6"/>
  <c r="L23" i="6"/>
  <c r="K23" i="6"/>
  <c r="J23" i="6"/>
  <c r="I23" i="6"/>
  <c r="H23" i="6"/>
  <c r="G23" i="6"/>
  <c r="F23" i="6"/>
  <c r="E23" i="6"/>
  <c r="Z22" i="6"/>
  <c r="Y22" i="6"/>
  <c r="X22" i="6"/>
  <c r="W22" i="6"/>
  <c r="V22" i="6"/>
  <c r="U22" i="6"/>
  <c r="T22" i="6"/>
  <c r="S22" i="6"/>
  <c r="R22" i="6"/>
  <c r="Q22" i="6"/>
  <c r="P22" i="6"/>
  <c r="O22" i="6"/>
  <c r="N22" i="6"/>
  <c r="M22" i="6"/>
  <c r="L22" i="6"/>
  <c r="K22" i="6"/>
  <c r="J22" i="6"/>
  <c r="I22" i="6"/>
  <c r="H22" i="6"/>
  <c r="G22" i="6"/>
  <c r="F22" i="6"/>
  <c r="E22" i="6"/>
  <c r="Z21" i="6"/>
  <c r="Y21" i="6"/>
  <c r="X21" i="6"/>
  <c r="W21" i="6"/>
  <c r="V21" i="6"/>
  <c r="U21" i="6"/>
  <c r="T21" i="6"/>
  <c r="S21" i="6"/>
  <c r="R21" i="6"/>
  <c r="Q21" i="6"/>
  <c r="P21" i="6"/>
  <c r="O21" i="6"/>
  <c r="N21" i="6"/>
  <c r="M21" i="6"/>
  <c r="L21" i="6"/>
  <c r="K21" i="6"/>
  <c r="J21" i="6"/>
  <c r="I21" i="6"/>
  <c r="H21" i="6"/>
  <c r="G21" i="6"/>
  <c r="F21" i="6"/>
  <c r="E21" i="6"/>
  <c r="Z20" i="6"/>
  <c r="Y20" i="6"/>
  <c r="X20" i="6"/>
  <c r="W20" i="6"/>
  <c r="V20" i="6"/>
  <c r="U20" i="6"/>
  <c r="T20" i="6"/>
  <c r="S20" i="6"/>
  <c r="R20" i="6"/>
  <c r="Q20" i="6"/>
  <c r="P20" i="6"/>
  <c r="O20" i="6"/>
  <c r="N20" i="6"/>
  <c r="M20" i="6"/>
  <c r="L20" i="6"/>
  <c r="K20" i="6"/>
  <c r="J20" i="6"/>
  <c r="I20" i="6"/>
  <c r="H20" i="6"/>
  <c r="G20" i="6"/>
  <c r="F20" i="6"/>
  <c r="E20" i="6"/>
  <c r="Z19" i="6"/>
  <c r="Y19" i="6"/>
  <c r="X19" i="6"/>
  <c r="W19" i="6"/>
  <c r="V19" i="6"/>
  <c r="U19" i="6"/>
  <c r="T19" i="6"/>
  <c r="S19" i="6"/>
  <c r="R19" i="6"/>
  <c r="Q19" i="6"/>
  <c r="P19" i="6"/>
  <c r="O19" i="6"/>
  <c r="N19" i="6"/>
  <c r="M19" i="6"/>
  <c r="L19" i="6"/>
  <c r="K19" i="6"/>
  <c r="J19" i="6"/>
  <c r="I19" i="6"/>
  <c r="H19" i="6"/>
  <c r="G19" i="6"/>
  <c r="F19" i="6"/>
  <c r="E19" i="6"/>
  <c r="Z18" i="6"/>
  <c r="Y18" i="6"/>
  <c r="X18" i="6"/>
  <c r="W18" i="6"/>
  <c r="V18" i="6"/>
  <c r="U18" i="6"/>
  <c r="T18" i="6"/>
  <c r="S18" i="6"/>
  <c r="R18" i="6"/>
  <c r="Q18" i="6"/>
  <c r="P18" i="6"/>
  <c r="O18" i="6"/>
  <c r="N18" i="6"/>
  <c r="M18" i="6"/>
  <c r="L18" i="6"/>
  <c r="K18" i="6"/>
  <c r="J18" i="6"/>
  <c r="I18" i="6"/>
  <c r="H18" i="6"/>
  <c r="G18" i="6"/>
  <c r="F18" i="6"/>
  <c r="E18" i="6"/>
  <c r="Z17" i="6"/>
  <c r="Y17" i="6"/>
  <c r="X17" i="6"/>
  <c r="W17" i="6"/>
  <c r="V17" i="6"/>
  <c r="U17" i="6"/>
  <c r="T17" i="6"/>
  <c r="S17" i="6"/>
  <c r="R17" i="6"/>
  <c r="Q17" i="6"/>
  <c r="P17" i="6"/>
  <c r="O17" i="6"/>
  <c r="N17" i="6"/>
  <c r="M17" i="6"/>
  <c r="L17" i="6"/>
  <c r="K17" i="6"/>
  <c r="J17" i="6"/>
  <c r="I17" i="6"/>
  <c r="H17" i="6"/>
  <c r="G17" i="6"/>
  <c r="F17" i="6"/>
  <c r="E17" i="6"/>
  <c r="Z16" i="6"/>
  <c r="Y16" i="6"/>
  <c r="X16" i="6"/>
  <c r="W16" i="6"/>
  <c r="V16" i="6"/>
  <c r="U16" i="6"/>
  <c r="T16" i="6"/>
  <c r="S16" i="6"/>
  <c r="R16" i="6"/>
  <c r="Q16" i="6"/>
  <c r="P16" i="6"/>
  <c r="O16" i="6"/>
  <c r="N16" i="6"/>
  <c r="M16" i="6"/>
  <c r="L16" i="6"/>
  <c r="K16" i="6"/>
  <c r="J16" i="6"/>
  <c r="I16" i="6"/>
  <c r="H16" i="6"/>
  <c r="G16" i="6"/>
  <c r="F16" i="6"/>
  <c r="E16" i="6"/>
  <c r="Z15" i="6"/>
  <c r="Y15" i="6"/>
  <c r="X15" i="6"/>
  <c r="W15" i="6"/>
  <c r="V15" i="6"/>
  <c r="U15" i="6"/>
  <c r="T15" i="6"/>
  <c r="S15" i="6"/>
  <c r="R15" i="6"/>
  <c r="Q15" i="6"/>
  <c r="P15" i="6"/>
  <c r="O15" i="6"/>
  <c r="N15" i="6"/>
  <c r="M15" i="6"/>
  <c r="L15" i="6"/>
  <c r="K15" i="6"/>
  <c r="J15" i="6"/>
  <c r="I15" i="6"/>
  <c r="H15" i="6"/>
  <c r="G15" i="6"/>
  <c r="F15" i="6"/>
  <c r="E15" i="6"/>
  <c r="Z14" i="6"/>
  <c r="Y14" i="6"/>
  <c r="X14" i="6"/>
  <c r="W14" i="6"/>
  <c r="V14" i="6"/>
  <c r="U14" i="6"/>
  <c r="T14" i="6"/>
  <c r="S14" i="6"/>
  <c r="R14" i="6"/>
  <c r="Q14" i="6"/>
  <c r="P14" i="6"/>
  <c r="O14" i="6"/>
  <c r="N14" i="6"/>
  <c r="M14" i="6"/>
  <c r="L14" i="6"/>
  <c r="K14" i="6"/>
  <c r="J14" i="6"/>
  <c r="I14" i="6"/>
  <c r="H14" i="6"/>
  <c r="G14" i="6"/>
  <c r="F14" i="6"/>
  <c r="E14" i="6"/>
  <c r="Z13" i="6"/>
  <c r="Y13" i="6"/>
  <c r="X13" i="6"/>
  <c r="W13" i="6"/>
  <c r="V13" i="6"/>
  <c r="U13" i="6"/>
  <c r="T13" i="6"/>
  <c r="S13" i="6"/>
  <c r="R13" i="6"/>
  <c r="Q13" i="6"/>
  <c r="P13" i="6"/>
  <c r="O13" i="6"/>
  <c r="N13" i="6"/>
  <c r="M13" i="6"/>
  <c r="L13" i="6"/>
  <c r="K13" i="6"/>
  <c r="J13" i="6"/>
  <c r="I13" i="6"/>
  <c r="H13" i="6"/>
  <c r="G13" i="6"/>
  <c r="F13" i="6"/>
  <c r="E13" i="6"/>
  <c r="Z12" i="6"/>
  <c r="Y12" i="6"/>
  <c r="X12" i="6"/>
  <c r="W12" i="6"/>
  <c r="V12" i="6"/>
  <c r="U12" i="6"/>
  <c r="T12" i="6"/>
  <c r="S12" i="6"/>
  <c r="R12" i="6"/>
  <c r="Q12" i="6"/>
  <c r="P12" i="6"/>
  <c r="O12" i="6"/>
  <c r="N12" i="6"/>
  <c r="M12" i="6"/>
  <c r="L12" i="6"/>
  <c r="K12" i="6"/>
  <c r="J12" i="6"/>
  <c r="I12" i="6"/>
  <c r="H12" i="6"/>
  <c r="G12" i="6"/>
  <c r="F12" i="6"/>
  <c r="E12" i="6"/>
  <c r="Z11" i="6"/>
  <c r="Y11" i="6"/>
  <c r="X11" i="6"/>
  <c r="W11" i="6"/>
  <c r="V11" i="6"/>
  <c r="U11" i="6"/>
  <c r="T11" i="6"/>
  <c r="S11" i="6"/>
  <c r="R11" i="6"/>
  <c r="Q11" i="6"/>
  <c r="P11" i="6"/>
  <c r="O11" i="6"/>
  <c r="N11" i="6"/>
  <c r="M11" i="6"/>
  <c r="L11" i="6"/>
  <c r="K11" i="6"/>
  <c r="J11" i="6"/>
  <c r="I11" i="6"/>
  <c r="H11" i="6"/>
  <c r="G11" i="6"/>
  <c r="F11" i="6"/>
  <c r="E11" i="6"/>
  <c r="Z10" i="6"/>
  <c r="Y10" i="6"/>
  <c r="X10" i="6"/>
  <c r="W10" i="6"/>
  <c r="V10" i="6"/>
  <c r="U10" i="6"/>
  <c r="T10" i="6"/>
  <c r="S10" i="6"/>
  <c r="R10" i="6"/>
  <c r="Q10" i="6"/>
  <c r="P10" i="6"/>
  <c r="O10" i="6"/>
  <c r="N10" i="6"/>
  <c r="M10" i="6"/>
  <c r="L10" i="6"/>
  <c r="K10" i="6"/>
  <c r="J10" i="6"/>
  <c r="I10" i="6"/>
  <c r="H10" i="6"/>
  <c r="G10" i="6"/>
  <c r="F10" i="6"/>
  <c r="E10" i="6"/>
  <c r="Z9" i="6"/>
  <c r="Y9" i="6"/>
  <c r="X9" i="6"/>
  <c r="W9" i="6"/>
  <c r="V9" i="6"/>
  <c r="U9" i="6"/>
  <c r="T9" i="6"/>
  <c r="S9" i="6"/>
  <c r="R9" i="6"/>
  <c r="Q9" i="6"/>
  <c r="P9" i="6"/>
  <c r="O9" i="6"/>
  <c r="N9" i="6"/>
  <c r="M9" i="6"/>
  <c r="L9" i="6"/>
  <c r="K9" i="6"/>
  <c r="J9" i="6"/>
  <c r="I9" i="6"/>
  <c r="H9" i="6"/>
  <c r="G9" i="6"/>
  <c r="F9" i="6"/>
  <c r="E9" i="6"/>
  <c r="Z8" i="6"/>
  <c r="Y8" i="6"/>
  <c r="X8" i="6"/>
  <c r="W8" i="6"/>
  <c r="V8" i="6"/>
  <c r="U8" i="6"/>
  <c r="T8" i="6"/>
  <c r="S8" i="6"/>
  <c r="R8" i="6"/>
  <c r="Q8" i="6"/>
  <c r="P8" i="6"/>
  <c r="O8" i="6"/>
  <c r="N8" i="6"/>
  <c r="M8" i="6"/>
  <c r="L8" i="6"/>
  <c r="K8" i="6"/>
  <c r="J8" i="6"/>
  <c r="I8" i="6"/>
  <c r="H8" i="6"/>
  <c r="G8" i="6"/>
  <c r="F8" i="6"/>
  <c r="E8" i="6"/>
  <c r="Z7" i="6"/>
  <c r="Y7" i="6"/>
  <c r="X7" i="6"/>
  <c r="W7" i="6"/>
  <c r="V7" i="6"/>
  <c r="U7" i="6"/>
  <c r="T7" i="6"/>
  <c r="S7" i="6"/>
  <c r="R7" i="6"/>
  <c r="Q7" i="6"/>
  <c r="P7" i="6"/>
  <c r="O7" i="6"/>
  <c r="N7" i="6"/>
  <c r="M7" i="6"/>
  <c r="L7" i="6"/>
  <c r="K7" i="6"/>
  <c r="J7" i="6"/>
  <c r="I7" i="6"/>
  <c r="H7" i="6"/>
  <c r="G7" i="6"/>
  <c r="F7" i="6"/>
  <c r="E7" i="6"/>
  <c r="Z6" i="6"/>
  <c r="Y6" i="6"/>
  <c r="X6" i="6"/>
  <c r="W6" i="6"/>
  <c r="V6" i="6"/>
  <c r="U6" i="6"/>
  <c r="T6" i="6"/>
  <c r="S6" i="6"/>
  <c r="R6" i="6"/>
  <c r="Q6" i="6"/>
  <c r="P6" i="6"/>
  <c r="O6" i="6"/>
  <c r="N6" i="6"/>
  <c r="M6" i="6"/>
  <c r="L6" i="6"/>
  <c r="K6" i="6"/>
  <c r="J6" i="6"/>
  <c r="I6" i="6"/>
  <c r="H6" i="6"/>
  <c r="G6" i="6"/>
  <c r="F6" i="6"/>
  <c r="E6" i="6"/>
  <c r="Z5" i="6"/>
  <c r="Y5" i="6"/>
  <c r="X5" i="6"/>
  <c r="W5" i="6"/>
  <c r="V5" i="6"/>
  <c r="U5" i="6"/>
  <c r="T5" i="6"/>
  <c r="S5" i="6"/>
  <c r="R5" i="6"/>
  <c r="Q5" i="6"/>
  <c r="P5" i="6"/>
  <c r="O5" i="6"/>
  <c r="N5" i="6"/>
  <c r="M5" i="6"/>
  <c r="L5" i="6"/>
  <c r="K5" i="6"/>
  <c r="J5" i="6"/>
  <c r="I5" i="6"/>
  <c r="H5" i="6"/>
  <c r="G5" i="6"/>
  <c r="F5" i="6"/>
  <c r="E5" i="6"/>
  <c r="Z4" i="6"/>
  <c r="Y4" i="6"/>
  <c r="X4" i="6"/>
  <c r="W4" i="6"/>
  <c r="V4" i="6"/>
  <c r="U4" i="6"/>
  <c r="T4" i="6"/>
  <c r="S4" i="6"/>
  <c r="R4" i="6"/>
  <c r="Q4" i="6"/>
  <c r="P4" i="6"/>
  <c r="O4" i="6"/>
  <c r="N4" i="6"/>
  <c r="M4" i="6"/>
  <c r="L4" i="6"/>
  <c r="K4" i="6"/>
  <c r="J4" i="6"/>
  <c r="I4" i="6"/>
  <c r="H4" i="6"/>
  <c r="G4" i="6"/>
  <c r="F4" i="6"/>
  <c r="E4" i="6"/>
  <c r="Z3" i="6"/>
  <c r="Y3" i="6"/>
  <c r="X3" i="6"/>
  <c r="W3" i="6"/>
  <c r="V3" i="6"/>
  <c r="U3" i="6"/>
  <c r="T3" i="6"/>
  <c r="S3" i="6"/>
  <c r="R3" i="6"/>
  <c r="Q3" i="6"/>
  <c r="P3" i="6"/>
  <c r="O3" i="6"/>
  <c r="N3" i="6"/>
  <c r="M3" i="6"/>
  <c r="L3" i="6"/>
  <c r="K3" i="6"/>
  <c r="J3" i="6"/>
  <c r="I3" i="6"/>
  <c r="H3" i="6"/>
  <c r="G3" i="6"/>
  <c r="F3" i="6"/>
  <c r="E3" i="6"/>
  <c r="Z2" i="6"/>
  <c r="Y2" i="6"/>
  <c r="X2" i="6"/>
  <c r="W2" i="6"/>
  <c r="V2" i="6"/>
  <c r="U2" i="6"/>
  <c r="T2" i="6"/>
  <c r="S2" i="6"/>
  <c r="R2" i="6"/>
  <c r="Q2" i="6"/>
  <c r="P2" i="6"/>
  <c r="O2" i="6"/>
  <c r="N2" i="6"/>
  <c r="M2" i="6"/>
  <c r="L2" i="6"/>
  <c r="K2" i="6"/>
  <c r="J2" i="6"/>
  <c r="I2" i="6"/>
  <c r="H2" i="6"/>
  <c r="G2" i="6"/>
  <c r="F2" i="6"/>
  <c r="E2" i="6"/>
  <c r="Z28" i="3"/>
  <c r="Z27" i="3"/>
  <c r="Z26" i="3"/>
  <c r="Z25" i="3"/>
  <c r="Z24" i="3"/>
  <c r="Z23" i="3"/>
  <c r="Z22" i="3"/>
  <c r="Z21" i="3"/>
  <c r="Z20" i="3"/>
  <c r="Z19" i="3"/>
  <c r="Z18" i="3"/>
  <c r="Z17" i="3"/>
  <c r="Z16" i="3"/>
  <c r="Z15" i="3"/>
  <c r="Z14" i="3"/>
  <c r="Z13" i="3"/>
  <c r="Z12" i="3"/>
  <c r="Z11" i="3"/>
  <c r="Z10" i="3"/>
  <c r="Z9" i="3"/>
  <c r="Z8" i="3"/>
  <c r="Z7" i="3"/>
  <c r="Z6" i="3"/>
  <c r="Z5" i="3"/>
  <c r="Z4" i="3"/>
  <c r="Z3" i="3"/>
  <c r="Z2" i="3"/>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 r="AC2" i="1"/>
  <c r="AB11" i="6" l="1"/>
  <c r="AB23" i="6"/>
  <c r="AB10" i="6"/>
  <c r="AB22" i="6"/>
  <c r="AB20" i="6"/>
  <c r="AB19" i="6"/>
  <c r="AB6" i="6"/>
  <c r="AB18" i="6"/>
  <c r="AB17" i="6"/>
  <c r="AB4" i="6"/>
  <c r="AB16" i="6"/>
  <c r="AB28" i="6"/>
  <c r="AB2" i="6"/>
  <c r="AB3" i="6"/>
  <c r="AB14" i="6"/>
  <c r="AB15" i="6"/>
  <c r="AB26" i="6"/>
  <c r="AB27" i="6"/>
  <c r="AB7" i="6"/>
  <c r="AB5" i="6"/>
  <c r="AB13" i="6"/>
  <c r="AB25" i="6"/>
  <c r="AB9" i="6"/>
  <c r="AB21" i="6"/>
  <c r="AB8" i="6"/>
  <c r="I9" i="11"/>
  <c r="AB12" i="6"/>
  <c r="AB24" i="6"/>
  <c r="D9" i="11"/>
  <c r="E9" i="11"/>
  <c r="F9" i="11"/>
  <c r="G9" i="11"/>
  <c r="C9" i="11"/>
  <c r="H9" i="11"/>
</calcChain>
</file>

<file path=xl/sharedStrings.xml><?xml version="1.0" encoding="utf-8"?>
<sst xmlns="http://schemas.openxmlformats.org/spreadsheetml/2006/main" count="1345" uniqueCount="347">
  <si>
    <t>Country</t>
  </si>
  <si>
    <t>Country code</t>
  </si>
  <si>
    <t>Data type</t>
  </si>
  <si>
    <t>AVERAGE</t>
  </si>
  <si>
    <t>Angola</t>
  </si>
  <si>
    <t>AGO</t>
  </si>
  <si>
    <t>Financial Development Index</t>
  </si>
  <si>
    <t>Bangladesh</t>
  </si>
  <si>
    <t>BGD</t>
  </si>
  <si>
    <t>Bolivia</t>
  </si>
  <si>
    <t>BOL</t>
  </si>
  <si>
    <t>Cameroon</t>
  </si>
  <si>
    <t>CMR</t>
  </si>
  <si>
    <t>Congo, Rep. of</t>
  </si>
  <si>
    <t>COG</t>
  </si>
  <si>
    <t>Côte d'Ivoire</t>
  </si>
  <si>
    <t>CIV</t>
  </si>
  <si>
    <t>Egypt, Arab Rep. of</t>
  </si>
  <si>
    <t>EGY</t>
  </si>
  <si>
    <t>Ghana</t>
  </si>
  <si>
    <t>GHA</t>
  </si>
  <si>
    <t>Haiti</t>
  </si>
  <si>
    <t>HTI</t>
  </si>
  <si>
    <t>Honduras</t>
  </si>
  <si>
    <t>HND</t>
  </si>
  <si>
    <t>India</t>
  </si>
  <si>
    <t>IND</t>
  </si>
  <si>
    <t>Jordan</t>
  </si>
  <si>
    <t>JOR</t>
  </si>
  <si>
    <t>Kenya</t>
  </si>
  <si>
    <t>KEN</t>
  </si>
  <si>
    <t>Lebanon</t>
  </si>
  <si>
    <t>LBN</t>
  </si>
  <si>
    <t>Morocco</t>
  </si>
  <si>
    <t>MAR</t>
  </si>
  <si>
    <t>Myanmar</t>
  </si>
  <si>
    <t>MMR</t>
  </si>
  <si>
    <t>Nicaragua</t>
  </si>
  <si>
    <t>NIC</t>
  </si>
  <si>
    <t>Nigeria</t>
  </si>
  <si>
    <t>NGA</t>
  </si>
  <si>
    <t>Pakistan</t>
  </si>
  <si>
    <t>PAK</t>
  </si>
  <si>
    <t>Papua New Guinea</t>
  </si>
  <si>
    <t>PNG</t>
  </si>
  <si>
    <t>Philippines</t>
  </si>
  <si>
    <t>PHL</t>
  </si>
  <si>
    <t>Senegal</t>
  </si>
  <si>
    <t>SEN</t>
  </si>
  <si>
    <t>Sri Lanka</t>
  </si>
  <si>
    <t>LKA</t>
  </si>
  <si>
    <t>Tanzania, United Rep. of</t>
  </si>
  <si>
    <t>TZA</t>
  </si>
  <si>
    <t>Tunisia</t>
  </si>
  <si>
    <t>TUN</t>
  </si>
  <si>
    <t>Vietnam</t>
  </si>
  <si>
    <t>VNM</t>
  </si>
  <si>
    <t>Zambia</t>
  </si>
  <si>
    <t>ZMB</t>
  </si>
  <si>
    <t xml:space="preserve">Source:  </t>
  </si>
  <si>
    <t>https://data.imf.org/?sk=f8032e80-b36c-43b1-ac26-493c5b1cd33b&amp;sid=1480712464593</t>
  </si>
  <si>
    <t>(International Monetary Fund)</t>
  </si>
  <si>
    <t>Financial Development (FD)</t>
  </si>
  <si>
    <t>Financial Institutions Access Index</t>
  </si>
  <si>
    <t>Financial Institutions Depth Index</t>
  </si>
  <si>
    <t>Financial Institutions Efficiency Index</t>
  </si>
  <si>
    <t>Financial Institutions Index</t>
  </si>
  <si>
    <t>Financial Markets Access Index</t>
  </si>
  <si>
    <t>Financial Markets Depth Index</t>
  </si>
  <si>
    <t>Financial Markets Efficiency Index</t>
  </si>
  <si>
    <t>Financial Markets Index</t>
  </si>
  <si>
    <t>Cambodia</t>
  </si>
  <si>
    <t>Eswatini, Kingdom of</t>
  </si>
  <si>
    <t>Kyrgyz Rep.</t>
  </si>
  <si>
    <t>Lao People's Dem. Rep.</t>
  </si>
  <si>
    <t>Nepal</t>
  </si>
  <si>
    <t>Tajikistan, Rep. of</t>
  </si>
  <si>
    <t>Uzbekistan, Rep. of</t>
  </si>
  <si>
    <t>2000 [YR2000]</t>
  </si>
  <si>
    <t>2001 [YR2001]</t>
  </si>
  <si>
    <t>2002 [YR2002]</t>
  </si>
  <si>
    <t>2003 [YR2003]</t>
  </si>
  <si>
    <t>2004 [YR2004]</t>
  </si>
  <si>
    <t>2005 [YR2005]</t>
  </si>
  <si>
    <t>2006 [YR2006]</t>
  </si>
  <si>
    <t>2007 [YR2007]</t>
  </si>
  <si>
    <t>2008 [YR2008]</t>
  </si>
  <si>
    <t>2009 [YR2009]</t>
  </si>
  <si>
    <t>2010 [YR2010]</t>
  </si>
  <si>
    <t>2011 [YR2011]</t>
  </si>
  <si>
    <t>2012 [YR2012]</t>
  </si>
  <si>
    <t>2013 [YR2013]</t>
  </si>
  <si>
    <t>2014 [YR2014]</t>
  </si>
  <si>
    <t>2015 [YR2015]</t>
  </si>
  <si>
    <t>2016 [YR2016]</t>
  </si>
  <si>
    <t>2017 [YR2017]</t>
  </si>
  <si>
    <t>2018 [YR2018]</t>
  </si>
  <si>
    <t>2019 [YR2019]</t>
  </si>
  <si>
    <t>2020 [YR2020]</t>
  </si>
  <si>
    <t>2021 [YR2021]</t>
  </si>
  <si>
    <t>Average</t>
  </si>
  <si>
    <t>Congo, Rep.</t>
  </si>
  <si>
    <t>Egypt, Arab Rep.</t>
  </si>
  <si>
    <t>Tanzania</t>
  </si>
  <si>
    <t>Voice and Accountability (Military in politics, Democratic accountability)</t>
  </si>
  <si>
    <t>Political Stability and Absence of Violence (Government stability, Internal conflict, External conflict, Ethnic tensions)</t>
  </si>
  <si>
    <t>Government Effectiveness (Bureaucratic quality)</t>
  </si>
  <si>
    <t>Regulatory Quality (Investment profile)</t>
  </si>
  <si>
    <t>Rule of Law (Law and order)</t>
  </si>
  <si>
    <t>Control of Corruption (Corruption)</t>
  </si>
  <si>
    <t>code</t>
  </si>
  <si>
    <t>country</t>
  </si>
  <si>
    <t>INST21</t>
  </si>
  <si>
    <t>PRS21VA</t>
  </si>
  <si>
    <t>PRS21PV</t>
  </si>
  <si>
    <t>PRS21GE</t>
  </si>
  <si>
    <t>PRS21RQ</t>
  </si>
  <si>
    <t>PRS21RL</t>
  </si>
  <si>
    <t>PRS21CC</t>
  </si>
  <si>
    <t>INST20</t>
  </si>
  <si>
    <t>PRS20VA</t>
  </si>
  <si>
    <t>PRS20PV</t>
  </si>
  <si>
    <t>PRS20GE</t>
  </si>
  <si>
    <t>PRS20RQ</t>
  </si>
  <si>
    <t>PRS20RL</t>
  </si>
  <si>
    <t>PRS20CC</t>
  </si>
  <si>
    <t>INST19</t>
  </si>
  <si>
    <t>PRS19VA</t>
  </si>
  <si>
    <t>PRS19PV</t>
  </si>
  <si>
    <t>PRS19GE</t>
  </si>
  <si>
    <t>PRS19RQ</t>
  </si>
  <si>
    <t>PRS19RL</t>
  </si>
  <si>
    <t>PRS19CC</t>
  </si>
  <si>
    <t>INST18</t>
  </si>
  <si>
    <t>PRS18VA</t>
  </si>
  <si>
    <t>PRS18PV</t>
  </si>
  <si>
    <t>PRS18GE</t>
  </si>
  <si>
    <t>PRS18RQ</t>
  </si>
  <si>
    <t>PRS18RL</t>
  </si>
  <si>
    <t>PRS18CC</t>
  </si>
  <si>
    <t>INST17</t>
  </si>
  <si>
    <t>PRS17VA</t>
  </si>
  <si>
    <t>PRS17PV</t>
  </si>
  <si>
    <t>PRS17GE</t>
  </si>
  <si>
    <t>PRS17RQ</t>
  </si>
  <si>
    <t>PRS17RL</t>
  </si>
  <si>
    <t>PRS17CC</t>
  </si>
  <si>
    <t>INST16</t>
  </si>
  <si>
    <t>PRS16VA</t>
  </si>
  <si>
    <t>PRS16PV</t>
  </si>
  <si>
    <t>PRS16GE</t>
  </si>
  <si>
    <t>PRS16RQ</t>
  </si>
  <si>
    <t>PRS16RL</t>
  </si>
  <si>
    <t>PRS16CC</t>
  </si>
  <si>
    <t>INST15</t>
  </si>
  <si>
    <t>PRS15VA</t>
  </si>
  <si>
    <t>PRS15PV</t>
  </si>
  <si>
    <t>PRS15GE</t>
  </si>
  <si>
    <t>PRS15RQ</t>
  </si>
  <si>
    <t>PRS15RL</t>
  </si>
  <si>
    <t>PRS15CC</t>
  </si>
  <si>
    <t>INST14</t>
  </si>
  <si>
    <t>PRS14VA</t>
  </si>
  <si>
    <t>PRS14PV</t>
  </si>
  <si>
    <t>PRS14GE</t>
  </si>
  <si>
    <t>PRS14RQ</t>
  </si>
  <si>
    <t>PRS14RL</t>
  </si>
  <si>
    <t>PRS14CC</t>
  </si>
  <si>
    <t>INST13</t>
  </si>
  <si>
    <t>PRS13VA</t>
  </si>
  <si>
    <t>PRS13PV</t>
  </si>
  <si>
    <t>PRS13GE</t>
  </si>
  <si>
    <t>PRS13RQ</t>
  </si>
  <si>
    <t>PRS13RL</t>
  </si>
  <si>
    <t>PRS13CC</t>
  </si>
  <si>
    <t>INST12</t>
  </si>
  <si>
    <t>PRS12VA</t>
  </si>
  <si>
    <t>PRS12PV</t>
  </si>
  <si>
    <t>PRS12GE</t>
  </si>
  <si>
    <t>PRS12RQ</t>
  </si>
  <si>
    <t>PRS12RL</t>
  </si>
  <si>
    <t>PRS12CC</t>
  </si>
  <si>
    <t>INST11</t>
  </si>
  <si>
    <t>PRS11VA</t>
  </si>
  <si>
    <t>PRS11PV</t>
  </si>
  <si>
    <t>PRS11GE</t>
  </si>
  <si>
    <t>PRS11RQ</t>
  </si>
  <si>
    <t>PRS11RL</t>
  </si>
  <si>
    <t>PRS11CC</t>
  </si>
  <si>
    <t>INST10</t>
  </si>
  <si>
    <t>PRS10VA</t>
  </si>
  <si>
    <t>PRS10PV</t>
  </si>
  <si>
    <t>PRS10GE</t>
  </si>
  <si>
    <t>PRS10RQ</t>
  </si>
  <si>
    <t>PRS10RL</t>
  </si>
  <si>
    <t>PRS10CC</t>
  </si>
  <si>
    <t>INST09</t>
  </si>
  <si>
    <t>PRS09VA</t>
  </si>
  <si>
    <t>PRS09PV</t>
  </si>
  <si>
    <t>PRS09GE</t>
  </si>
  <si>
    <t>PRS09RQ</t>
  </si>
  <si>
    <t>PRS09RL</t>
  </si>
  <si>
    <t>PRS09CC</t>
  </si>
  <si>
    <t>INST08</t>
  </si>
  <si>
    <t>PRS08VA</t>
  </si>
  <si>
    <t>PRS08PV</t>
  </si>
  <si>
    <t>PRS08GE</t>
  </si>
  <si>
    <t>PRS08RQ</t>
  </si>
  <si>
    <t>PRS08RL</t>
  </si>
  <si>
    <t>PRS08CC</t>
  </si>
  <si>
    <t>INST07</t>
  </si>
  <si>
    <t>PRS07VA</t>
  </si>
  <si>
    <t>PRS07PV</t>
  </si>
  <si>
    <t>PRS07GE</t>
  </si>
  <si>
    <t>PRS07RQ</t>
  </si>
  <si>
    <t>PRS07RL</t>
  </si>
  <si>
    <t>PRS07CC</t>
  </si>
  <si>
    <t>INST06</t>
  </si>
  <si>
    <t>PRS06VA</t>
  </si>
  <si>
    <t>PRS06PV</t>
  </si>
  <si>
    <t>PRS06GE</t>
  </si>
  <si>
    <t>PRS06RQ</t>
  </si>
  <si>
    <t>PRS06RL</t>
  </si>
  <si>
    <t>PRS06CC</t>
  </si>
  <si>
    <t>INST05</t>
  </si>
  <si>
    <t>PRS05VA</t>
  </si>
  <si>
    <t>PRS05PV</t>
  </si>
  <si>
    <t>PRS05GE</t>
  </si>
  <si>
    <t>PRS05RQ</t>
  </si>
  <si>
    <t>PRS05RL</t>
  </si>
  <si>
    <t>PRS05CC</t>
  </si>
  <si>
    <t>INST04</t>
  </si>
  <si>
    <t>PRS04VA</t>
  </si>
  <si>
    <t>PRS04PV</t>
  </si>
  <si>
    <t>PRS04GE</t>
  </si>
  <si>
    <t>PRS04RQ</t>
  </si>
  <si>
    <t>PRS04RL</t>
  </si>
  <si>
    <t>PRS04CC</t>
  </si>
  <si>
    <t>INST03</t>
  </si>
  <si>
    <t>PRS03VA</t>
  </si>
  <si>
    <t>PRS03PV</t>
  </si>
  <si>
    <t>PRS03GE</t>
  </si>
  <si>
    <t>PRS03RQ</t>
  </si>
  <si>
    <t>PRS03RL</t>
  </si>
  <si>
    <t>PRS03CC</t>
  </si>
  <si>
    <t>INST02</t>
  </si>
  <si>
    <t>PRS02VA</t>
  </si>
  <si>
    <t>PRS02PV</t>
  </si>
  <si>
    <t>PRS02GE</t>
  </si>
  <si>
    <t>PRS02RQ</t>
  </si>
  <si>
    <t>PRS02RL</t>
  </si>
  <si>
    <t>PRS02CC</t>
  </si>
  <si>
    <t>INST01</t>
  </si>
  <si>
    <t>PRS01VA</t>
  </si>
  <si>
    <t>PRS01PV</t>
  </si>
  <si>
    <t>PRS01GE</t>
  </si>
  <si>
    <t>PRS01RQ</t>
  </si>
  <si>
    <t>PRS01RL</t>
  </si>
  <si>
    <t>PRS01CC</t>
  </si>
  <si>
    <t>INST00</t>
  </si>
  <si>
    <t>PRS00VA</t>
  </si>
  <si>
    <t>PRS00PV</t>
  </si>
  <si>
    <t>PRS00GE</t>
  </si>
  <si>
    <t>PRS00RQ</t>
  </si>
  <si>
    <t>PRS00RL</t>
  </si>
  <si>
    <t>PRS00CC</t>
  </si>
  <si>
    <t>SRB</t>
  </si>
  <si>
    <t>Serbia</t>
  </si>
  <si>
    <t>meaning</t>
  </si>
  <si>
    <t>PRS-data source PRS org ICRG</t>
  </si>
  <si>
    <t>VA</t>
  </si>
  <si>
    <t>PV</t>
  </si>
  <si>
    <t>GE</t>
  </si>
  <si>
    <t>RQ</t>
  </si>
  <si>
    <t>RL</t>
  </si>
  <si>
    <t>CC</t>
  </si>
  <si>
    <t>FD*INST</t>
  </si>
  <si>
    <t>Series Name</t>
  </si>
  <si>
    <t>Series Code</t>
  </si>
  <si>
    <t>Country Name</t>
  </si>
  <si>
    <t>Country Code</t>
  </si>
  <si>
    <t>average</t>
  </si>
  <si>
    <t>Cote d'Ivoire</t>
  </si>
  <si>
    <t>Viet Nam</t>
  </si>
  <si>
    <t>Data from database: World Development Indicators</t>
  </si>
  <si>
    <t>Last Updated: 01/28/2025</t>
  </si>
  <si>
    <t>GDP per capita (constant 2015 US$)</t>
  </si>
  <si>
    <t>NY.GDP.PCAP.KD</t>
  </si>
  <si>
    <t>Population, total</t>
  </si>
  <si>
    <t>SP.POP.TOTL</t>
  </si>
  <si>
    <t>Foreign direct investment, net inflows (% of GDP)</t>
  </si>
  <si>
    <t>BX.KLT.DINV.WD.GD.ZS</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</si>
  <si>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</si>
  <si>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</si>
  <si>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</si>
  <si>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</si>
  <si>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</si>
  <si>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</si>
  <si>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</si>
  <si>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</si>
  <si>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</si>
  <si>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</si>
  <si>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</si>
  <si>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</si>
  <si>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</si>
  <si>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</si>
  <si>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</si>
  <si>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International Monetary Fund, International Financial Statistics and Balance of Payments databases, World Bank, International Debt Statistics, and World Bank and OECD GDP estimates.</t>
  </si>
  <si>
    <t>Economic Policy &amp; Debt: Balance of payments: Capital &amp; financial account</t>
  </si>
  <si>
    <t>Annual</t>
  </si>
  <si>
    <t>Weighted average</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</si>
  <si>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</si>
  <si>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Private financial flows - equity and debt - account for the bulk of development finance. Equity flows comprise foreign direct investment (FDI) and portfolio equity. Debt flows are financing raised through bond issuance, bank lending, and supplier credits.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</si>
  <si>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</si>
  <si>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Note: Data starting from 2005 are based on the sixth edition of the IMF's Balance of Payments Manual (BPM6).</t>
  </si>
  <si>
    <t>https://datacatalog.worldbank.org/public-licenses#cc-by</t>
  </si>
  <si>
    <t>Descriptive Statistics</t>
  </si>
  <si>
    <t>Notation</t>
  </si>
  <si>
    <t>Definition</t>
  </si>
  <si>
    <t>Mean</t>
  </si>
  <si>
    <t>Median</t>
  </si>
  <si>
    <t>Maximun</t>
  </si>
  <si>
    <t>Minimum</t>
  </si>
  <si>
    <t>Std. Dev.</t>
  </si>
  <si>
    <t>Skewness</t>
  </si>
  <si>
    <t>Kurtosis</t>
  </si>
  <si>
    <t>Sources</t>
  </si>
  <si>
    <t>ren</t>
  </si>
  <si>
    <t>Renewable energy consumption as a percentage of total energy consumption</t>
  </si>
  <si>
    <t>World Bank</t>
  </si>
  <si>
    <t>fd</t>
  </si>
  <si>
    <t>Financial Development Indicator obtained from the IMF financial statistics database</t>
  </si>
  <si>
    <t>IMF</t>
  </si>
  <si>
    <t>inst</t>
  </si>
  <si>
    <t>Index of Institutional quality</t>
  </si>
  <si>
    <t>ICRG PRS</t>
  </si>
  <si>
    <t>lrgdppc</t>
  </si>
  <si>
    <t>Real GDP per capita(USD$ 2015)</t>
  </si>
  <si>
    <t>fdi</t>
  </si>
  <si>
    <t>Foreign Direct Investment inflows as a percentage of GDP.</t>
  </si>
  <si>
    <t>lpop</t>
  </si>
  <si>
    <t>Total population size of country</t>
  </si>
  <si>
    <t>fd*inst</t>
  </si>
  <si>
    <t>Interaction term between financial development and institutional quality</t>
  </si>
  <si>
    <t>Correlation Matrix</t>
  </si>
  <si>
    <t>rgdppc</t>
  </si>
  <si>
    <t>pop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</si>
</sst>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rgb="FF000000"/>
      <name val="Arial"/>
    </font>
    <font>
      <sz val="11"/>
      <color rgb="FF000000"/>
      <name val="Lucida Sans"/>
    </font>
    <font>
      <sz val="11"/>
      <color rgb="FF000000"/>
      <name val="Calibri"/>
    </font>
    <font>
      <sz val="11"/>
      <color theme="1"/>
      <name val="Calibri"/>
    </font>
    <font>
      <sz val="11"/>
      <color theme="1"/>
      <name val="Arial"/>
    </font>
    <font>
      <sz val="11"/>
      <color theme="1"/>
      <name val="Calibri"/>
    </font>
    <font>
      <u/>
      <sz val="11"/>
      <color rgb="FF0000FF"/>
      <name val="Calibri"/>
    </font>
    <font>
      <sz val="16"/>
      <color rgb="FF989898"/>
      <name val="Arial"/>
    </font>
    <font>
      <u/>
      <sz val="11"/>
      <color rgb="FF000000"/>
      <name val="Calibri"/>
    </font>
  </fonts>
  <fills count="4">
    <fill>
      <patternFill patternType="none"/>
    </fill>
    <fill>
      <patternFill patternType="gray125"/>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xf>
    <xf numFmtId="0" fontId="4" fillId="0" borderId="0" xfId="0" applyFont="1"/>
    <xf numFmtId="0" fontId="1" fillId="0" borderId="0" xfId="0" applyFont="1" applyAlignment="1">
      <alignment horizontal="left"/>
    </xf>
    <xf numFmtId="0" fontId="1" fillId="0" borderId="0" xfId="0" applyFont="1" applyAlignment="1">
      <alignment horizontal="right"/>
    </xf>
    <xf numFmtId="0" fontId="1" fillId="2" borderId="0" xfId="0" applyFont="1" applyFill="1" applyAlignment="1">
      <alignment horizontal="right"/>
    </xf>
    <xf numFmtId="0" fontId="5" fillId="0" borderId="0" xfId="0" applyFont="1"/>
    <xf numFmtId="0" fontId="5" fillId="0" borderId="0" xfId="0" applyFont="1" applyAlignment="1">
      <alignment horizontal="right"/>
    </xf>
    <xf numFmtId="0" fontId="6" fillId="0" borderId="0" xfId="0" applyFont="1"/>
    <xf numFmtId="0" fontId="7" fillId="0" borderId="0" xfId="0" applyFont="1"/>
    <xf numFmtId="0" fontId="3" fillId="0" borderId="0" xfId="0" applyFont="1" applyAlignment="1">
      <alignment horizontal="right"/>
    </xf>
    <xf numFmtId="0" fontId="3" fillId="0" borderId="0" xfId="0" applyFont="1" applyAlignment="1">
      <alignment horizontal="left"/>
    </xf>
    <xf numFmtId="0" fontId="3" fillId="3" borderId="0" xfId="0" applyFont="1" applyFill="1"/>
    <xf numFmtId="0" fontId="3" fillId="3" borderId="0" xfId="0" applyFont="1" applyFill="1" applyAlignment="1">
      <alignment horizontal="right"/>
    </xf>
    <xf numFmtId="49" fontId="3" fillId="0" borderId="0" xfId="0" applyNumberFormat="1" applyFont="1"/>
    <xf numFmtId="49" fontId="6" fillId="0" borderId="0" xfId="0" applyNumberFormat="1" applyFont="1"/>
    <xf numFmtId="11" fontId="3" fillId="0" borderId="0" xfId="0" applyNumberFormat="1" applyFont="1" applyAlignment="1">
      <alignment horizontal="right"/>
    </xf>
    <xf numFmtId="11" fontId="3" fillId="0" borderId="0" xfId="0" applyNumberFormat="1" applyFont="1"/>
    <xf numFmtId="0" fontId="9" fillId="0" borderId="0" xfId="0" applyFont="1"/>
    <xf numFmtId="0" fontId="4" fillId="0" borderId="1" xfId="0" applyFont="1" applyBorder="1"/>
    <xf numFmtId="0" fontId="6" fillId="0" borderId="1" xfId="0" applyFont="1" applyBorder="1"/>
    <xf numFmtId="0" fontId="3" fillId="0" borderId="1" xfId="0" applyFont="1" applyBorder="1" applyAlignment="1">
      <alignment horizontal="right"/>
    </xf>
    <xf numFmtId="0" fontId="3" fillId="0" borderId="1" xfId="0" applyFont="1" applyBorder="1"/>
    <xf numFmtId="0" fontId="8" fillId="0" borderId="0" xfId="0" applyFont="1" applyAlignment="1">
      <alignment horizontal="center"/>
    </xf>
    <xf numFmtId="0" fontId="0" fillId="0" borderId="0" xfId="0"/>
    <xf numFmtId="0" fontId="1" fillId="0" borderId="0" xfId="0" applyFont="1" applyAlignment="1">
      <alignment horizontal="left"/>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581025</xdr:colOff>
      <xdr:row>32</xdr:row>
      <xdr:rowOff>180975</xdr:rowOff>
    </xdr:from>
    <xdr:ext cx="7781925" cy="32099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17</xdr:col>
      <xdr:colOff>47625</xdr:colOff>
      <xdr:row>31</xdr:row>
      <xdr:rowOff>142875</xdr:rowOff>
    </xdr:from>
    <xdr:ext cx="8258175" cy="438150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2</xdr:row>
      <xdr:rowOff>142875</xdr:rowOff>
    </xdr:from>
    <xdr:ext cx="8315325" cy="3448050"/>
    <xdr:pic>
      <xdr:nvPicPr>
        <xdr:cNvPr id="2" name="image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24</xdr:row>
      <xdr:rowOff>142875</xdr:rowOff>
    </xdr:from>
    <xdr:ext cx="8258175" cy="4381500"/>
    <xdr:pic>
      <xdr:nvPicPr>
        <xdr:cNvPr id="3" name="image1.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imf.org/?sk=f8032e80-b36c-43b1-ac26-493c5b1cd33b&amp;sid=148071246459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hyperlink" Target="https://datacatalog.worldbank.org/public-licen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0"/>
  <sheetViews>
    <sheetView zoomScale="78" workbookViewId="0">
      <selection activeCell="A19" sqref="A19"/>
    </sheetView>
  </sheetViews>
  <sheetFormatPr defaultColWidth="14.44140625" defaultRowHeight="15" customHeight="1" x14ac:dyDescent="0.3"/>
  <cols>
    <col min="1" max="3" width="8.6640625" customWidth="1"/>
    <col min="4" max="4" width="29.5546875" customWidth="1"/>
    <col min="5" max="40" width="8.6640625" customWidth="1"/>
  </cols>
  <sheetData>
    <row r="1" spans="1:29" ht="14.25" customHeight="1" x14ac:dyDescent="0.3">
      <c r="A1" s="1" t="s">
        <v>0</v>
      </c>
      <c r="B1" s="2"/>
      <c r="C1" s="3" t="s">
        <v>1</v>
      </c>
      <c r="D1" s="1" t="s">
        <v>2</v>
      </c>
      <c r="E1" s="4">
        <v>2000</v>
      </c>
      <c r="F1" s="4">
        <v>2001</v>
      </c>
      <c r="G1" s="4">
        <v>2002</v>
      </c>
      <c r="H1" s="4">
        <v>2003</v>
      </c>
      <c r="I1" s="4">
        <v>2004</v>
      </c>
      <c r="J1" s="4">
        <v>2005</v>
      </c>
      <c r="K1" s="4">
        <v>2006</v>
      </c>
      <c r="L1" s="4">
        <v>2007</v>
      </c>
      <c r="M1" s="4">
        <v>2008</v>
      </c>
      <c r="N1" s="4">
        <v>2009</v>
      </c>
      <c r="O1" s="4">
        <v>2010</v>
      </c>
      <c r="P1" s="4">
        <v>2011</v>
      </c>
      <c r="Q1" s="4">
        <v>2012</v>
      </c>
      <c r="R1" s="4">
        <v>2013</v>
      </c>
      <c r="S1" s="4">
        <v>2014</v>
      </c>
      <c r="T1" s="4">
        <v>2015</v>
      </c>
      <c r="U1" s="4">
        <v>2016</v>
      </c>
      <c r="V1" s="4">
        <v>2017</v>
      </c>
      <c r="W1" s="4">
        <v>2018</v>
      </c>
      <c r="X1" s="4">
        <v>2019</v>
      </c>
      <c r="Y1" s="4">
        <v>2020</v>
      </c>
      <c r="Z1" s="4">
        <v>2021</v>
      </c>
      <c r="AC1" s="5" t="s">
        <v>3</v>
      </c>
    </row>
    <row r="2" spans="1:29" ht="14.25" customHeight="1" x14ac:dyDescent="0.3">
      <c r="A2" s="6" t="s">
        <v>4</v>
      </c>
      <c r="B2" s="6"/>
      <c r="C2" s="3" t="s">
        <v>5</v>
      </c>
      <c r="D2" s="6" t="s">
        <v>6</v>
      </c>
      <c r="E2" s="7">
        <v>0.09</v>
      </c>
      <c r="F2" s="7">
        <v>0.09</v>
      </c>
      <c r="G2" s="7">
        <v>0.1</v>
      </c>
      <c r="H2" s="7">
        <v>0.1</v>
      </c>
      <c r="I2" s="7">
        <v>0.11</v>
      </c>
      <c r="J2" s="7">
        <v>0.11</v>
      </c>
      <c r="K2" s="7">
        <v>0.12</v>
      </c>
      <c r="L2" s="7">
        <v>0.13</v>
      </c>
      <c r="M2" s="7">
        <v>0.14000000000000001</v>
      </c>
      <c r="N2" s="7">
        <v>0.16</v>
      </c>
      <c r="O2" s="7">
        <v>0.15</v>
      </c>
      <c r="P2" s="7">
        <v>0.14000000000000001</v>
      </c>
      <c r="Q2" s="7">
        <v>0.13</v>
      </c>
      <c r="R2" s="7">
        <v>0.14000000000000001</v>
      </c>
      <c r="S2" s="7">
        <v>0.13</v>
      </c>
      <c r="T2" s="7">
        <v>0.15</v>
      </c>
      <c r="U2" s="7">
        <v>0.15</v>
      </c>
      <c r="V2" s="7">
        <v>0.15</v>
      </c>
      <c r="W2" s="7">
        <v>0.14000000000000001</v>
      </c>
      <c r="X2" s="7">
        <v>0.1</v>
      </c>
      <c r="Y2" s="7">
        <v>0.13</v>
      </c>
      <c r="Z2" s="7">
        <v>0.14000000000000001</v>
      </c>
      <c r="AC2" s="5">
        <f t="shared" ref="AC2:AC28" si="0">AVERAGE(E2:Z2)</f>
        <v>0.12727272727272726</v>
      </c>
    </row>
    <row r="3" spans="1:29" ht="14.25" customHeight="1" x14ac:dyDescent="0.3">
      <c r="A3" s="6" t="s">
        <v>7</v>
      </c>
      <c r="B3" s="6"/>
      <c r="C3" s="3" t="s">
        <v>8</v>
      </c>
      <c r="D3" s="6" t="s">
        <v>6</v>
      </c>
      <c r="E3" s="8">
        <v>0.22</v>
      </c>
      <c r="F3" s="8">
        <v>0.19</v>
      </c>
      <c r="G3" s="8">
        <v>0.2</v>
      </c>
      <c r="H3" s="8">
        <v>0.21</v>
      </c>
      <c r="I3" s="8">
        <v>0.19</v>
      </c>
      <c r="J3" s="8">
        <v>0.16</v>
      </c>
      <c r="K3" s="8">
        <v>0.14000000000000001</v>
      </c>
      <c r="L3" s="8">
        <v>0.15</v>
      </c>
      <c r="M3" s="8">
        <v>0.19</v>
      </c>
      <c r="N3" s="8">
        <v>0.2</v>
      </c>
      <c r="O3" s="8">
        <v>0.23</v>
      </c>
      <c r="P3" s="8">
        <v>0.21</v>
      </c>
      <c r="Q3" s="8">
        <v>0.2</v>
      </c>
      <c r="R3" s="8">
        <v>0.21</v>
      </c>
      <c r="S3" s="8">
        <v>0.26</v>
      </c>
      <c r="T3" s="8">
        <v>0.25</v>
      </c>
      <c r="U3" s="8">
        <v>0.25</v>
      </c>
      <c r="V3" s="8">
        <v>0.28000000000000003</v>
      </c>
      <c r="W3" s="8">
        <v>0.25</v>
      </c>
      <c r="X3" s="8">
        <v>0.25</v>
      </c>
      <c r="Y3" s="8">
        <v>0.24</v>
      </c>
      <c r="Z3" s="8">
        <v>0.24</v>
      </c>
      <c r="AC3" s="5">
        <f t="shared" si="0"/>
        <v>0.21454545454545457</v>
      </c>
    </row>
    <row r="4" spans="1:29" ht="14.25" customHeight="1" x14ac:dyDescent="0.3">
      <c r="A4" s="6" t="s">
        <v>9</v>
      </c>
      <c r="B4" s="6"/>
      <c r="C4" s="3" t="s">
        <v>10</v>
      </c>
      <c r="D4" s="6" t="s">
        <v>6</v>
      </c>
      <c r="E4" s="7">
        <v>0.11</v>
      </c>
      <c r="F4" s="7">
        <v>0.11</v>
      </c>
      <c r="G4" s="7">
        <v>0.12</v>
      </c>
      <c r="H4" s="7">
        <v>0.15</v>
      </c>
      <c r="I4" s="7">
        <v>0.15</v>
      </c>
      <c r="J4" s="7">
        <v>0.15</v>
      </c>
      <c r="K4" s="7">
        <v>0.16</v>
      </c>
      <c r="L4" s="7">
        <v>0.18</v>
      </c>
      <c r="M4" s="7">
        <v>0.18</v>
      </c>
      <c r="N4" s="7">
        <v>0.2</v>
      </c>
      <c r="O4" s="7">
        <v>0.2</v>
      </c>
      <c r="P4" s="7">
        <v>0.22</v>
      </c>
      <c r="Q4" s="7">
        <v>0.23</v>
      </c>
      <c r="R4" s="7">
        <v>0.24</v>
      </c>
      <c r="S4" s="7">
        <v>0.26</v>
      </c>
      <c r="T4" s="7">
        <v>0.28000000000000003</v>
      </c>
      <c r="U4" s="7">
        <v>0.3</v>
      </c>
      <c r="V4" s="7">
        <v>0.31</v>
      </c>
      <c r="W4" s="7">
        <v>0.32</v>
      </c>
      <c r="X4" s="7">
        <v>0.33</v>
      </c>
      <c r="Y4" s="7">
        <v>0.35</v>
      </c>
      <c r="Z4" s="7">
        <v>0.39</v>
      </c>
      <c r="AC4" s="5">
        <f t="shared" si="0"/>
        <v>0.22454545454545452</v>
      </c>
    </row>
    <row r="5" spans="1:29" ht="14.25" customHeight="1" x14ac:dyDescent="0.3">
      <c r="A5" s="6" t="s">
        <v>11</v>
      </c>
      <c r="B5" s="6"/>
      <c r="C5" s="3" t="s">
        <v>12</v>
      </c>
      <c r="D5" s="6" t="s">
        <v>6</v>
      </c>
      <c r="E5" s="7">
        <v>0.08</v>
      </c>
      <c r="F5" s="7">
        <v>0.08</v>
      </c>
      <c r="G5" s="7">
        <v>0.08</v>
      </c>
      <c r="H5" s="7">
        <v>7.0000000000000007E-2</v>
      </c>
      <c r="I5" s="7">
        <v>7.0000000000000007E-2</v>
      </c>
      <c r="J5" s="7">
        <v>0.08</v>
      </c>
      <c r="K5" s="7">
        <v>0.08</v>
      </c>
      <c r="L5" s="7">
        <v>0.09</v>
      </c>
      <c r="M5" s="7">
        <v>0.09</v>
      </c>
      <c r="N5" s="7">
        <v>0.08</v>
      </c>
      <c r="O5" s="7">
        <v>0.08</v>
      </c>
      <c r="P5" s="7">
        <v>0.08</v>
      </c>
      <c r="Q5" s="7">
        <v>0.08</v>
      </c>
      <c r="R5" s="7">
        <v>0.1</v>
      </c>
      <c r="S5" s="7">
        <v>0.08</v>
      </c>
      <c r="T5" s="7">
        <v>0.08</v>
      </c>
      <c r="U5" s="7">
        <v>0.08</v>
      </c>
      <c r="V5" s="7">
        <v>0.09</v>
      </c>
      <c r="W5" s="7">
        <v>0.09</v>
      </c>
      <c r="X5" s="7">
        <v>0.09</v>
      </c>
      <c r="Y5" s="7">
        <v>0.09</v>
      </c>
      <c r="Z5" s="7">
        <v>0.1</v>
      </c>
      <c r="AC5" s="5">
        <f t="shared" si="0"/>
        <v>8.3636363636363661E-2</v>
      </c>
    </row>
    <row r="6" spans="1:29" ht="14.25" customHeight="1" x14ac:dyDescent="0.3">
      <c r="A6" s="6" t="s">
        <v>13</v>
      </c>
      <c r="B6" s="6"/>
      <c r="C6" s="3" t="s">
        <v>14</v>
      </c>
      <c r="D6" s="6" t="s">
        <v>6</v>
      </c>
      <c r="E6" s="8">
        <v>0.04</v>
      </c>
      <c r="F6" s="8">
        <v>0.05</v>
      </c>
      <c r="G6" s="8">
        <v>0.04</v>
      </c>
      <c r="H6" s="8">
        <v>0.06</v>
      </c>
      <c r="I6" s="8">
        <v>0.04</v>
      </c>
      <c r="J6" s="8">
        <v>0.03</v>
      </c>
      <c r="K6" s="8">
        <v>0.03</v>
      </c>
      <c r="L6" s="8">
        <v>0.03</v>
      </c>
      <c r="M6" s="8">
        <v>0.04</v>
      </c>
      <c r="N6" s="8">
        <v>0.08</v>
      </c>
      <c r="O6" s="8">
        <v>0.09</v>
      </c>
      <c r="P6" s="8">
        <v>0.08</v>
      </c>
      <c r="Q6" s="8">
        <v>0.09</v>
      </c>
      <c r="R6" s="8">
        <v>0.09</v>
      </c>
      <c r="S6" s="8">
        <v>0.1</v>
      </c>
      <c r="T6" s="8">
        <v>0.12</v>
      </c>
      <c r="U6" s="8">
        <v>0.12</v>
      </c>
      <c r="V6" s="8">
        <v>0.12</v>
      </c>
      <c r="W6" s="8">
        <v>0.1</v>
      </c>
      <c r="X6" s="8">
        <v>0.1</v>
      </c>
      <c r="Y6" s="8">
        <v>0.1</v>
      </c>
      <c r="Z6" s="8">
        <v>0.09</v>
      </c>
      <c r="AC6" s="5">
        <f t="shared" si="0"/>
        <v>7.4545454545454568E-2</v>
      </c>
    </row>
    <row r="7" spans="1:29" ht="14.25" customHeight="1" x14ac:dyDescent="0.3">
      <c r="A7" s="6" t="s">
        <v>15</v>
      </c>
      <c r="B7" s="6"/>
      <c r="C7" s="3" t="s">
        <v>16</v>
      </c>
      <c r="D7" s="6" t="s">
        <v>6</v>
      </c>
      <c r="E7" s="7">
        <v>0.14000000000000001</v>
      </c>
      <c r="F7" s="7">
        <v>0.12</v>
      </c>
      <c r="G7" s="7">
        <v>0.1</v>
      </c>
      <c r="H7" s="7">
        <v>0.1</v>
      </c>
      <c r="I7" s="7">
        <v>0.11</v>
      </c>
      <c r="J7" s="7">
        <v>0.11</v>
      </c>
      <c r="K7" s="7">
        <v>0.13</v>
      </c>
      <c r="L7" s="7">
        <v>0.14000000000000001</v>
      </c>
      <c r="M7" s="7">
        <v>0.14000000000000001</v>
      </c>
      <c r="N7" s="7">
        <v>0.14000000000000001</v>
      </c>
      <c r="O7" s="7">
        <v>0.15</v>
      </c>
      <c r="P7" s="7">
        <v>0.13</v>
      </c>
      <c r="Q7" s="7">
        <v>0.15</v>
      </c>
      <c r="R7" s="7">
        <v>0.16</v>
      </c>
      <c r="S7" s="7">
        <v>0.16</v>
      </c>
      <c r="T7" s="7">
        <v>0.17</v>
      </c>
      <c r="U7" s="7">
        <v>0.17</v>
      </c>
      <c r="V7" s="7">
        <v>0.17</v>
      </c>
      <c r="W7" s="7">
        <v>0.15</v>
      </c>
      <c r="X7" s="7">
        <v>0.14000000000000001</v>
      </c>
      <c r="Y7" s="7">
        <v>0.13</v>
      </c>
      <c r="Z7" s="7">
        <v>0.13</v>
      </c>
      <c r="AC7" s="5">
        <f t="shared" si="0"/>
        <v>0.13818181818181816</v>
      </c>
    </row>
    <row r="8" spans="1:29" ht="14.25" customHeight="1" x14ac:dyDescent="0.3">
      <c r="A8" s="6" t="s">
        <v>17</v>
      </c>
      <c r="B8" s="6"/>
      <c r="C8" s="3" t="s">
        <v>18</v>
      </c>
      <c r="D8" s="6" t="s">
        <v>6</v>
      </c>
      <c r="E8" s="8">
        <v>0.3</v>
      </c>
      <c r="F8" s="8">
        <v>0.31</v>
      </c>
      <c r="G8" s="8">
        <v>0.33</v>
      </c>
      <c r="H8" s="8">
        <v>0.33</v>
      </c>
      <c r="I8" s="8">
        <v>0.34</v>
      </c>
      <c r="J8" s="8">
        <v>0.42</v>
      </c>
      <c r="K8" s="8">
        <v>0.37</v>
      </c>
      <c r="L8" s="8">
        <v>0.37</v>
      </c>
      <c r="M8" s="8">
        <v>0.43</v>
      </c>
      <c r="N8" s="8">
        <v>0.4</v>
      </c>
      <c r="O8" s="8">
        <v>0.32</v>
      </c>
      <c r="P8" s="8">
        <v>0.28000000000000003</v>
      </c>
      <c r="Q8" s="8">
        <v>0.27</v>
      </c>
      <c r="R8" s="8">
        <v>0.26</v>
      </c>
      <c r="S8" s="8">
        <v>0.28999999999999998</v>
      </c>
      <c r="T8" s="8">
        <v>0.27</v>
      </c>
      <c r="U8" s="8">
        <v>0.3</v>
      </c>
      <c r="V8" s="8">
        <v>0.28999999999999998</v>
      </c>
      <c r="W8" s="8">
        <v>0.28999999999999998</v>
      </c>
      <c r="X8" s="8">
        <v>0.3</v>
      </c>
      <c r="Y8" s="8">
        <v>0.3</v>
      </c>
      <c r="Z8" s="8">
        <v>0.31</v>
      </c>
      <c r="AC8" s="5">
        <f t="shared" si="0"/>
        <v>0.32181818181818184</v>
      </c>
    </row>
    <row r="9" spans="1:29" ht="14.25" customHeight="1" x14ac:dyDescent="0.3">
      <c r="A9" s="6" t="s">
        <v>19</v>
      </c>
      <c r="B9" s="6"/>
      <c r="C9" s="3" t="s">
        <v>20</v>
      </c>
      <c r="D9" s="6" t="s">
        <v>6</v>
      </c>
      <c r="E9" s="8">
        <v>0.12</v>
      </c>
      <c r="F9" s="8">
        <v>0.12</v>
      </c>
      <c r="G9" s="8">
        <v>0.11</v>
      </c>
      <c r="H9" s="8">
        <v>0.12</v>
      </c>
      <c r="I9" s="8">
        <v>0.14000000000000001</v>
      </c>
      <c r="J9" s="8">
        <v>0.12</v>
      </c>
      <c r="K9" s="8">
        <v>0.11</v>
      </c>
      <c r="L9" s="8">
        <v>0.12</v>
      </c>
      <c r="M9" s="8">
        <v>0.13</v>
      </c>
      <c r="N9" s="8">
        <v>0.11</v>
      </c>
      <c r="O9" s="8">
        <v>0.12</v>
      </c>
      <c r="P9" s="8">
        <v>0.13</v>
      </c>
      <c r="Q9" s="8">
        <v>0.15</v>
      </c>
      <c r="R9" s="8">
        <v>0.15</v>
      </c>
      <c r="S9" s="8">
        <v>0.16</v>
      </c>
      <c r="T9" s="8">
        <v>0.16</v>
      </c>
      <c r="U9" s="8">
        <v>0.17</v>
      </c>
      <c r="V9" s="8">
        <v>0.17</v>
      </c>
      <c r="W9" s="8">
        <v>0.17</v>
      </c>
      <c r="X9" s="8">
        <v>0.18</v>
      </c>
      <c r="Y9" s="8">
        <v>0.17</v>
      </c>
      <c r="Z9" s="8">
        <v>0.18</v>
      </c>
      <c r="AC9" s="5">
        <f t="shared" si="0"/>
        <v>0.14136363636363633</v>
      </c>
    </row>
    <row r="10" spans="1:29" ht="14.25" customHeight="1" x14ac:dyDescent="0.3">
      <c r="A10" s="6" t="s">
        <v>21</v>
      </c>
      <c r="B10" s="6"/>
      <c r="C10" s="3" t="s">
        <v>22</v>
      </c>
      <c r="D10" s="6" t="s">
        <v>6</v>
      </c>
      <c r="E10" s="7">
        <v>0.09</v>
      </c>
      <c r="F10" s="7">
        <v>0.09</v>
      </c>
      <c r="G10" s="7">
        <v>0.09</v>
      </c>
      <c r="H10" s="7">
        <v>0.09</v>
      </c>
      <c r="I10" s="7">
        <v>0.09</v>
      </c>
      <c r="J10" s="7">
        <v>0.06</v>
      </c>
      <c r="K10" s="7">
        <v>0.06</v>
      </c>
      <c r="L10" s="7">
        <v>0.06</v>
      </c>
      <c r="M10" s="7">
        <v>0.06</v>
      </c>
      <c r="N10" s="7">
        <v>0.08</v>
      </c>
      <c r="O10" s="7">
        <v>0.08</v>
      </c>
      <c r="P10" s="7">
        <v>0.09</v>
      </c>
      <c r="Q10" s="7">
        <v>0.1</v>
      </c>
      <c r="R10" s="7">
        <v>0.1</v>
      </c>
      <c r="S10" s="7">
        <v>0.1</v>
      </c>
      <c r="T10" s="7">
        <v>0.1</v>
      </c>
      <c r="U10" s="7">
        <v>0.1</v>
      </c>
      <c r="V10" s="7">
        <v>0.1</v>
      </c>
      <c r="W10" s="7">
        <v>0.1</v>
      </c>
      <c r="X10" s="7">
        <v>0.1</v>
      </c>
      <c r="Y10" s="7">
        <v>0.09</v>
      </c>
      <c r="Z10" s="7">
        <v>0.1</v>
      </c>
      <c r="AC10" s="5">
        <f t="shared" si="0"/>
        <v>8.7727272727272765E-2</v>
      </c>
    </row>
    <row r="11" spans="1:29" ht="14.25" customHeight="1" x14ac:dyDescent="0.3">
      <c r="A11" s="6" t="s">
        <v>23</v>
      </c>
      <c r="B11" s="6"/>
      <c r="C11" s="3" t="s">
        <v>24</v>
      </c>
      <c r="D11" s="6" t="s">
        <v>6</v>
      </c>
      <c r="E11" s="8">
        <v>0.13</v>
      </c>
      <c r="F11" s="8">
        <v>0.15</v>
      </c>
      <c r="G11" s="8">
        <v>0.14000000000000001</v>
      </c>
      <c r="H11" s="8">
        <v>0.16</v>
      </c>
      <c r="I11" s="8">
        <v>0.15</v>
      </c>
      <c r="J11" s="8">
        <v>0.16</v>
      </c>
      <c r="K11" s="8">
        <v>0.18</v>
      </c>
      <c r="L11" s="8">
        <v>0.19</v>
      </c>
      <c r="M11" s="8">
        <v>0.2</v>
      </c>
      <c r="N11" s="8">
        <v>0.19</v>
      </c>
      <c r="O11" s="8">
        <v>0.18</v>
      </c>
      <c r="P11" s="8">
        <v>0.18</v>
      </c>
      <c r="Q11" s="8">
        <v>0.2</v>
      </c>
      <c r="R11" s="8">
        <v>0.2</v>
      </c>
      <c r="S11" s="8">
        <v>0.2</v>
      </c>
      <c r="T11" s="8">
        <v>0.2</v>
      </c>
      <c r="U11" s="8">
        <v>0.21</v>
      </c>
      <c r="V11" s="8">
        <v>0.21</v>
      </c>
      <c r="W11" s="8">
        <v>0.21</v>
      </c>
      <c r="X11" s="8">
        <v>0.21</v>
      </c>
      <c r="Y11" s="8">
        <v>0.21</v>
      </c>
      <c r="Z11" s="8">
        <v>0.21</v>
      </c>
      <c r="AC11" s="5">
        <f t="shared" si="0"/>
        <v>0.18500000000000003</v>
      </c>
    </row>
    <row r="12" spans="1:29" ht="14.25" customHeight="1" x14ac:dyDescent="0.3">
      <c r="A12" s="6" t="s">
        <v>25</v>
      </c>
      <c r="B12" s="6"/>
      <c r="C12" s="3" t="s">
        <v>26</v>
      </c>
      <c r="D12" s="6" t="s">
        <v>6</v>
      </c>
      <c r="E12" s="7">
        <v>0.44</v>
      </c>
      <c r="F12" s="7">
        <v>0.42</v>
      </c>
      <c r="G12" s="7">
        <v>0.43</v>
      </c>
      <c r="H12" s="7">
        <v>0.43</v>
      </c>
      <c r="I12" s="7">
        <v>0.45</v>
      </c>
      <c r="J12" s="7">
        <v>0.45</v>
      </c>
      <c r="K12" s="7">
        <v>0.47</v>
      </c>
      <c r="L12" s="7">
        <v>0.45</v>
      </c>
      <c r="M12" s="7">
        <v>0.48</v>
      </c>
      <c r="N12" s="7">
        <v>0.51</v>
      </c>
      <c r="O12" s="7">
        <v>0.48</v>
      </c>
      <c r="P12" s="7">
        <v>0.44</v>
      </c>
      <c r="Q12" s="7">
        <v>0.42</v>
      </c>
      <c r="R12" s="7">
        <v>0.42</v>
      </c>
      <c r="S12" s="7">
        <v>0.44</v>
      </c>
      <c r="T12" s="7">
        <v>0.44</v>
      </c>
      <c r="U12" s="7">
        <v>0.45</v>
      </c>
      <c r="V12" s="7">
        <v>0.46</v>
      </c>
      <c r="W12" s="7">
        <v>0.47</v>
      </c>
      <c r="X12" s="7">
        <v>0.47</v>
      </c>
      <c r="Y12" s="7">
        <v>0.54</v>
      </c>
      <c r="Z12" s="7">
        <v>0.53</v>
      </c>
      <c r="AC12" s="5">
        <f t="shared" si="0"/>
        <v>0.45863636363636373</v>
      </c>
    </row>
    <row r="13" spans="1:29" ht="14.25" customHeight="1" x14ac:dyDescent="0.3">
      <c r="A13" s="6" t="s">
        <v>27</v>
      </c>
      <c r="B13" s="6"/>
      <c r="C13" s="3" t="s">
        <v>28</v>
      </c>
      <c r="D13" s="6" t="s">
        <v>6</v>
      </c>
      <c r="E13" s="8">
        <v>0.53</v>
      </c>
      <c r="F13" s="8">
        <v>0.53</v>
      </c>
      <c r="G13" s="8">
        <v>0.53</v>
      </c>
      <c r="H13" s="8">
        <v>0.52</v>
      </c>
      <c r="I13" s="8">
        <v>0.53</v>
      </c>
      <c r="J13" s="8">
        <v>0.54</v>
      </c>
      <c r="K13" s="8">
        <v>0.5</v>
      </c>
      <c r="L13" s="8">
        <v>0.51</v>
      </c>
      <c r="M13" s="8">
        <v>0.57999999999999996</v>
      </c>
      <c r="N13" s="8">
        <v>0.5</v>
      </c>
      <c r="O13" s="8">
        <v>0.46</v>
      </c>
      <c r="P13" s="8">
        <v>0.42</v>
      </c>
      <c r="Q13" s="8">
        <v>0.4</v>
      </c>
      <c r="R13" s="8">
        <v>0.39</v>
      </c>
      <c r="S13" s="8">
        <v>0.37</v>
      </c>
      <c r="T13" s="8">
        <v>0.37</v>
      </c>
      <c r="U13" s="8">
        <v>0.37</v>
      </c>
      <c r="V13" s="8">
        <v>0.37</v>
      </c>
      <c r="W13" s="8">
        <v>0.38</v>
      </c>
      <c r="X13" s="8">
        <v>0.36</v>
      </c>
      <c r="Y13" s="8">
        <v>0.35</v>
      </c>
      <c r="Z13" s="8">
        <v>0.36</v>
      </c>
      <c r="AC13" s="5">
        <f t="shared" si="0"/>
        <v>0.44863636363636361</v>
      </c>
    </row>
    <row r="14" spans="1:29" ht="14.25" customHeight="1" x14ac:dyDescent="0.3">
      <c r="A14" s="6" t="s">
        <v>29</v>
      </c>
      <c r="B14" s="6"/>
      <c r="C14" s="3" t="s">
        <v>30</v>
      </c>
      <c r="D14" s="6" t="s">
        <v>6</v>
      </c>
      <c r="E14" s="7">
        <v>0.12</v>
      </c>
      <c r="F14" s="7">
        <v>0.1</v>
      </c>
      <c r="G14" s="7">
        <v>0.1</v>
      </c>
      <c r="H14" s="7">
        <v>0.13</v>
      </c>
      <c r="I14" s="7">
        <v>0.14000000000000001</v>
      </c>
      <c r="J14" s="7">
        <v>0.14000000000000001</v>
      </c>
      <c r="K14" s="7">
        <v>0.17</v>
      </c>
      <c r="L14" s="7">
        <v>0.17</v>
      </c>
      <c r="M14" s="7">
        <v>0.15</v>
      </c>
      <c r="N14" s="7">
        <v>0.14000000000000001</v>
      </c>
      <c r="O14" s="7">
        <v>0.16</v>
      </c>
      <c r="P14" s="7">
        <v>0.16</v>
      </c>
      <c r="Q14" s="7">
        <v>0.17</v>
      </c>
      <c r="R14" s="7">
        <v>0.17</v>
      </c>
      <c r="S14" s="7">
        <v>0.18</v>
      </c>
      <c r="T14" s="7">
        <v>0.18</v>
      </c>
      <c r="U14" s="7">
        <v>0.18</v>
      </c>
      <c r="V14" s="7">
        <v>0.18</v>
      </c>
      <c r="W14" s="7">
        <v>0.18</v>
      </c>
      <c r="X14" s="7">
        <v>0.16</v>
      </c>
      <c r="Y14" s="7">
        <v>0.16</v>
      </c>
      <c r="Z14" s="7">
        <v>0.16</v>
      </c>
      <c r="AC14" s="5">
        <f t="shared" si="0"/>
        <v>0.15454545454545457</v>
      </c>
    </row>
    <row r="15" spans="1:29" ht="14.25" customHeight="1" x14ac:dyDescent="0.3">
      <c r="A15" s="6" t="s">
        <v>31</v>
      </c>
      <c r="B15" s="6"/>
      <c r="C15" s="3" t="s">
        <v>32</v>
      </c>
      <c r="D15" s="6" t="s">
        <v>6</v>
      </c>
      <c r="E15" s="8">
        <v>0.28999999999999998</v>
      </c>
      <c r="F15" s="8">
        <v>0.27</v>
      </c>
      <c r="G15" s="8">
        <v>0.27</v>
      </c>
      <c r="H15" s="8">
        <v>0.27</v>
      </c>
      <c r="I15" s="8">
        <v>0.28000000000000003</v>
      </c>
      <c r="J15" s="8">
        <v>0.31</v>
      </c>
      <c r="K15" s="8">
        <v>0.34</v>
      </c>
      <c r="L15" s="8">
        <v>0.32</v>
      </c>
      <c r="M15" s="8">
        <v>0.34</v>
      </c>
      <c r="N15" s="8">
        <v>0.31</v>
      </c>
      <c r="O15" s="8">
        <v>0.33</v>
      </c>
      <c r="P15" s="8">
        <v>0.31</v>
      </c>
      <c r="Q15" s="8">
        <v>0.3</v>
      </c>
      <c r="R15" s="8">
        <v>0.28999999999999998</v>
      </c>
      <c r="S15" s="8">
        <v>0.28999999999999998</v>
      </c>
      <c r="T15" s="8">
        <v>0.3</v>
      </c>
      <c r="U15" s="8">
        <v>0.28999999999999998</v>
      </c>
      <c r="V15" s="8">
        <v>0.3</v>
      </c>
      <c r="W15" s="8">
        <v>0.3</v>
      </c>
      <c r="X15" s="8">
        <v>0.28999999999999998</v>
      </c>
      <c r="Y15" s="8">
        <v>0.31</v>
      </c>
      <c r="Z15" s="8">
        <v>0.3</v>
      </c>
      <c r="AC15" s="5">
        <f t="shared" si="0"/>
        <v>0.30045454545454536</v>
      </c>
    </row>
    <row r="16" spans="1:29" ht="14.25" customHeight="1" x14ac:dyDescent="0.3">
      <c r="A16" s="6" t="s">
        <v>33</v>
      </c>
      <c r="B16" s="6"/>
      <c r="C16" s="3" t="s">
        <v>34</v>
      </c>
      <c r="D16" s="6" t="s">
        <v>6</v>
      </c>
      <c r="E16" s="7">
        <v>0.27</v>
      </c>
      <c r="F16" s="7">
        <v>0.26</v>
      </c>
      <c r="G16" s="7">
        <v>0.26</v>
      </c>
      <c r="H16" s="7">
        <v>0.28000000000000003</v>
      </c>
      <c r="I16" s="7">
        <v>0.27</v>
      </c>
      <c r="J16" s="7">
        <v>0.26</v>
      </c>
      <c r="K16" s="7">
        <v>0.27</v>
      </c>
      <c r="L16" s="7">
        <v>0.28999999999999998</v>
      </c>
      <c r="M16" s="7">
        <v>0.31</v>
      </c>
      <c r="N16" s="7">
        <v>0.33</v>
      </c>
      <c r="O16" s="7">
        <v>0.35</v>
      </c>
      <c r="P16" s="7">
        <v>0.33</v>
      </c>
      <c r="Q16" s="7">
        <v>0.33</v>
      </c>
      <c r="R16" s="7">
        <v>0.33</v>
      </c>
      <c r="S16" s="7">
        <v>0.33</v>
      </c>
      <c r="T16" s="7">
        <v>0.34</v>
      </c>
      <c r="U16" s="7">
        <v>0.35</v>
      </c>
      <c r="V16" s="7">
        <v>0.35</v>
      </c>
      <c r="W16" s="7">
        <v>0.35</v>
      </c>
      <c r="X16" s="7">
        <v>0.35</v>
      </c>
      <c r="Y16" s="7">
        <v>0.35</v>
      </c>
      <c r="Z16" s="7">
        <v>0.35</v>
      </c>
      <c r="AC16" s="5">
        <f t="shared" si="0"/>
        <v>0.31409090909090903</v>
      </c>
    </row>
    <row r="17" spans="1:40" ht="14.25" customHeight="1" x14ac:dyDescent="0.3">
      <c r="A17" s="6" t="s">
        <v>35</v>
      </c>
      <c r="B17" s="6"/>
      <c r="C17" s="3" t="s">
        <v>36</v>
      </c>
      <c r="D17" s="6" t="s">
        <v>6</v>
      </c>
      <c r="E17" s="8">
        <v>0.11</v>
      </c>
      <c r="F17" s="8">
        <v>0.1</v>
      </c>
      <c r="G17" s="8">
        <v>0.1</v>
      </c>
      <c r="H17" s="8">
        <v>0.1</v>
      </c>
      <c r="I17" s="8">
        <v>0.1</v>
      </c>
      <c r="J17" s="8">
        <v>0.11</v>
      </c>
      <c r="K17" s="8">
        <v>0.1</v>
      </c>
      <c r="L17" s="8">
        <v>0.1</v>
      </c>
      <c r="M17" s="8">
        <v>0.09</v>
      </c>
      <c r="N17" s="8">
        <v>0.11</v>
      </c>
      <c r="O17" s="8">
        <v>0.09</v>
      </c>
      <c r="P17" s="8">
        <v>0.1</v>
      </c>
      <c r="Q17" s="8">
        <v>0.1</v>
      </c>
      <c r="R17" s="8">
        <v>0.11</v>
      </c>
      <c r="S17" s="8">
        <v>0.12</v>
      </c>
      <c r="T17" s="8">
        <v>0.1</v>
      </c>
      <c r="U17" s="8">
        <v>0.11</v>
      </c>
      <c r="V17" s="8">
        <v>0.12</v>
      </c>
      <c r="W17" s="8">
        <v>0.13</v>
      </c>
      <c r="X17" s="8">
        <v>0.12</v>
      </c>
      <c r="Y17" s="8">
        <v>0.13</v>
      </c>
      <c r="Z17" s="8">
        <v>0.13</v>
      </c>
      <c r="AC17" s="5">
        <f t="shared" si="0"/>
        <v>0.1081818181818182</v>
      </c>
    </row>
    <row r="18" spans="1:40" ht="14.25" customHeight="1" x14ac:dyDescent="0.3">
      <c r="A18" s="6" t="s">
        <v>37</v>
      </c>
      <c r="B18" s="6"/>
      <c r="C18" s="3" t="s">
        <v>38</v>
      </c>
      <c r="D18" s="6" t="s">
        <v>6</v>
      </c>
      <c r="E18" s="8">
        <v>0.12</v>
      </c>
      <c r="F18" s="8">
        <v>0.08</v>
      </c>
      <c r="G18" s="8">
        <v>0.1</v>
      </c>
      <c r="H18" s="8">
        <v>0.09</v>
      </c>
      <c r="I18" s="8">
        <v>0.12</v>
      </c>
      <c r="J18" s="8">
        <v>0.12</v>
      </c>
      <c r="K18" s="8">
        <v>0.13</v>
      </c>
      <c r="L18" s="8">
        <v>0.13</v>
      </c>
      <c r="M18" s="8">
        <v>0.11</v>
      </c>
      <c r="N18" s="8">
        <v>0.12</v>
      </c>
      <c r="O18" s="8">
        <v>0.12</v>
      </c>
      <c r="P18" s="8">
        <v>0.12</v>
      </c>
      <c r="Q18" s="8">
        <v>0.12</v>
      </c>
      <c r="R18" s="8">
        <v>0.13</v>
      </c>
      <c r="S18" s="8">
        <v>0.13</v>
      </c>
      <c r="T18" s="8">
        <v>0.14000000000000001</v>
      </c>
      <c r="U18" s="8">
        <v>0.15</v>
      </c>
      <c r="V18" s="8">
        <v>0.15</v>
      </c>
      <c r="W18" s="8">
        <v>0.14000000000000001</v>
      </c>
      <c r="X18" s="8">
        <v>0.13</v>
      </c>
      <c r="Y18" s="8">
        <v>0.13</v>
      </c>
      <c r="Z18" s="8">
        <v>0.14000000000000001</v>
      </c>
      <c r="AC18" s="5">
        <f t="shared" si="0"/>
        <v>0.12363636363636364</v>
      </c>
    </row>
    <row r="19" spans="1:40" ht="14.25" customHeight="1" x14ac:dyDescent="0.3">
      <c r="A19" s="6" t="s">
        <v>39</v>
      </c>
      <c r="B19" s="6"/>
      <c r="C19" s="3" t="s">
        <v>40</v>
      </c>
      <c r="D19" s="6" t="s">
        <v>6</v>
      </c>
      <c r="E19" s="7">
        <v>0.18</v>
      </c>
      <c r="F19" s="7">
        <v>0.17</v>
      </c>
      <c r="G19" s="7">
        <v>0.17</v>
      </c>
      <c r="H19" s="7">
        <v>0.18</v>
      </c>
      <c r="I19" s="7">
        <v>0.2</v>
      </c>
      <c r="J19" s="7">
        <v>0.19</v>
      </c>
      <c r="K19" s="7">
        <v>0.2</v>
      </c>
      <c r="L19" s="7">
        <v>0.25</v>
      </c>
      <c r="M19" s="7">
        <v>0.27</v>
      </c>
      <c r="N19" s="7">
        <v>0.22</v>
      </c>
      <c r="O19" s="7">
        <v>0.2</v>
      </c>
      <c r="P19" s="7">
        <v>0.19</v>
      </c>
      <c r="Q19" s="7">
        <v>0.21</v>
      </c>
      <c r="R19" s="7">
        <v>0.22</v>
      </c>
      <c r="S19" s="7">
        <v>0.22</v>
      </c>
      <c r="T19" s="7">
        <v>0.22</v>
      </c>
      <c r="U19" s="7">
        <v>0.22</v>
      </c>
      <c r="V19" s="7">
        <v>0.22</v>
      </c>
      <c r="W19" s="7">
        <v>0.23</v>
      </c>
      <c r="X19" s="7">
        <v>0.23</v>
      </c>
      <c r="Y19" s="7">
        <v>0.22</v>
      </c>
      <c r="Z19" s="7">
        <v>0.22</v>
      </c>
      <c r="AC19" s="5">
        <f t="shared" si="0"/>
        <v>0.21045454545454548</v>
      </c>
    </row>
    <row r="20" spans="1:40" ht="14.25" customHeight="1" x14ac:dyDescent="0.3">
      <c r="A20" s="6" t="s">
        <v>41</v>
      </c>
      <c r="B20" s="6"/>
      <c r="C20" s="3" t="s">
        <v>42</v>
      </c>
      <c r="D20" s="6" t="s">
        <v>6</v>
      </c>
      <c r="E20" s="8">
        <v>0.31</v>
      </c>
      <c r="F20" s="8">
        <v>0.28000000000000003</v>
      </c>
      <c r="G20" s="8">
        <v>0.3</v>
      </c>
      <c r="H20" s="8">
        <v>0.31</v>
      </c>
      <c r="I20" s="8">
        <v>0.36</v>
      </c>
      <c r="J20" s="8">
        <v>0.37</v>
      </c>
      <c r="K20" s="8">
        <v>0.36</v>
      </c>
      <c r="L20" s="8">
        <v>0.37</v>
      </c>
      <c r="M20" s="8">
        <v>0.32</v>
      </c>
      <c r="N20" s="8">
        <v>0.26</v>
      </c>
      <c r="O20" s="8">
        <v>0.21</v>
      </c>
      <c r="P20" s="8">
        <v>0.2</v>
      </c>
      <c r="Q20" s="8">
        <v>0.2</v>
      </c>
      <c r="R20" s="8">
        <v>0.21</v>
      </c>
      <c r="S20" s="8">
        <v>0.21</v>
      </c>
      <c r="T20" s="8">
        <v>0.21</v>
      </c>
      <c r="U20" s="8">
        <v>0.21</v>
      </c>
      <c r="V20" s="8">
        <v>0.21</v>
      </c>
      <c r="W20" s="8">
        <v>0.22</v>
      </c>
      <c r="X20" s="8">
        <v>0.22</v>
      </c>
      <c r="Y20" s="8">
        <v>0.22</v>
      </c>
      <c r="Z20" s="8">
        <v>0.22</v>
      </c>
      <c r="AC20" s="5">
        <f t="shared" si="0"/>
        <v>0.2627272727272727</v>
      </c>
    </row>
    <row r="21" spans="1:40" ht="14.25" customHeight="1" x14ac:dyDescent="0.3">
      <c r="A21" s="6" t="s">
        <v>43</v>
      </c>
      <c r="B21" s="6"/>
      <c r="C21" s="3" t="s">
        <v>44</v>
      </c>
      <c r="D21" s="6" t="s">
        <v>6</v>
      </c>
      <c r="E21" s="7">
        <v>0.15</v>
      </c>
      <c r="F21" s="7">
        <v>0.18</v>
      </c>
      <c r="G21" s="7">
        <v>0.16</v>
      </c>
      <c r="H21" s="7">
        <v>0.14000000000000001</v>
      </c>
      <c r="I21" s="7">
        <v>0.15</v>
      </c>
      <c r="J21" s="7">
        <v>0.17</v>
      </c>
      <c r="K21" s="7">
        <v>0.16</v>
      </c>
      <c r="L21" s="7">
        <v>0.18</v>
      </c>
      <c r="M21" s="7">
        <v>0.18</v>
      </c>
      <c r="N21" s="7">
        <v>0.23</v>
      </c>
      <c r="O21" s="7">
        <v>0.21</v>
      </c>
      <c r="P21" s="7">
        <v>0.2</v>
      </c>
      <c r="Q21" s="7">
        <v>0.21</v>
      </c>
      <c r="R21" s="7">
        <v>0.18</v>
      </c>
      <c r="S21" s="7">
        <v>0.18</v>
      </c>
      <c r="T21" s="7">
        <v>0.18</v>
      </c>
      <c r="U21" s="7">
        <v>0.19</v>
      </c>
      <c r="V21" s="7">
        <v>0.18</v>
      </c>
      <c r="W21" s="7">
        <v>0.18</v>
      </c>
      <c r="X21" s="7">
        <v>0.18</v>
      </c>
      <c r="Y21" s="7">
        <v>0.18</v>
      </c>
      <c r="Z21" s="7">
        <v>0.18</v>
      </c>
      <c r="AC21" s="5">
        <f t="shared" si="0"/>
        <v>0.17954545454545459</v>
      </c>
    </row>
    <row r="22" spans="1:40" ht="14.25" customHeight="1" x14ac:dyDescent="0.3">
      <c r="A22" s="6" t="s">
        <v>45</v>
      </c>
      <c r="B22" s="6"/>
      <c r="C22" s="3" t="s">
        <v>46</v>
      </c>
      <c r="D22" s="6" t="s">
        <v>6</v>
      </c>
      <c r="E22" s="8">
        <v>0.35</v>
      </c>
      <c r="F22" s="8">
        <v>0.31</v>
      </c>
      <c r="G22" s="8">
        <v>0.3</v>
      </c>
      <c r="H22" s="8">
        <v>0.31</v>
      </c>
      <c r="I22" s="8">
        <v>0.31</v>
      </c>
      <c r="J22" s="8">
        <v>0.3</v>
      </c>
      <c r="K22" s="8">
        <v>0.3</v>
      </c>
      <c r="L22" s="8">
        <v>0.33</v>
      </c>
      <c r="M22" s="8">
        <v>0.31</v>
      </c>
      <c r="N22" s="8">
        <v>0.31</v>
      </c>
      <c r="O22" s="8">
        <v>0.32</v>
      </c>
      <c r="P22" s="8">
        <v>0.32</v>
      </c>
      <c r="Q22" s="8">
        <v>0.34</v>
      </c>
      <c r="R22" s="8">
        <v>0.35</v>
      </c>
      <c r="S22" s="8">
        <v>0.35</v>
      </c>
      <c r="T22" s="8">
        <v>0.36</v>
      </c>
      <c r="U22" s="8">
        <v>0.35</v>
      </c>
      <c r="V22" s="8">
        <v>0.36</v>
      </c>
      <c r="W22" s="8">
        <v>0.35</v>
      </c>
      <c r="X22" s="8">
        <v>0.36</v>
      </c>
      <c r="Y22" s="8">
        <v>0.38</v>
      </c>
      <c r="Z22" s="8">
        <v>0.38</v>
      </c>
      <c r="AC22" s="5">
        <f t="shared" si="0"/>
        <v>0.33409090909090905</v>
      </c>
    </row>
    <row r="23" spans="1:40" ht="14.25" customHeight="1" x14ac:dyDescent="0.3">
      <c r="A23" s="6" t="s">
        <v>47</v>
      </c>
      <c r="B23" s="6"/>
      <c r="C23" s="3" t="s">
        <v>48</v>
      </c>
      <c r="D23" s="6" t="s">
        <v>6</v>
      </c>
      <c r="E23" s="7">
        <v>0.09</v>
      </c>
      <c r="F23" s="7">
        <v>0.09</v>
      </c>
      <c r="G23" s="7">
        <v>0.09</v>
      </c>
      <c r="H23" s="7">
        <v>0.09</v>
      </c>
      <c r="I23" s="7">
        <v>0.09</v>
      </c>
      <c r="J23" s="7">
        <v>0.09</v>
      </c>
      <c r="K23" s="7">
        <v>0.1</v>
      </c>
      <c r="L23" s="7">
        <v>0.1</v>
      </c>
      <c r="M23" s="7">
        <v>0.1</v>
      </c>
      <c r="N23" s="7">
        <v>0.1</v>
      </c>
      <c r="O23" s="7">
        <v>0.1</v>
      </c>
      <c r="P23" s="7">
        <v>0.1</v>
      </c>
      <c r="Q23" s="7">
        <v>0.09</v>
      </c>
      <c r="R23" s="7">
        <v>0.1</v>
      </c>
      <c r="S23" s="7">
        <v>0.09</v>
      </c>
      <c r="T23" s="7">
        <v>0.09</v>
      </c>
      <c r="U23" s="7">
        <v>0.1</v>
      </c>
      <c r="V23" s="7">
        <v>0.11</v>
      </c>
      <c r="W23" s="7">
        <v>0.12</v>
      </c>
      <c r="X23" s="7">
        <v>0.11</v>
      </c>
      <c r="Y23" s="7">
        <v>0.11</v>
      </c>
      <c r="Z23" s="7">
        <v>0.12</v>
      </c>
      <c r="AC23" s="5">
        <f t="shared" si="0"/>
        <v>9.9090909090909118E-2</v>
      </c>
    </row>
    <row r="24" spans="1:40" ht="14.25" customHeight="1" x14ac:dyDescent="0.3">
      <c r="A24" s="6" t="s">
        <v>49</v>
      </c>
      <c r="B24" s="6"/>
      <c r="C24" s="3" t="s">
        <v>50</v>
      </c>
      <c r="D24" s="6" t="s">
        <v>6</v>
      </c>
      <c r="E24" s="8">
        <v>0.2</v>
      </c>
      <c r="F24" s="8">
        <v>0.2</v>
      </c>
      <c r="G24" s="8">
        <v>0.22</v>
      </c>
      <c r="H24" s="8">
        <v>0.25</v>
      </c>
      <c r="I24" s="8">
        <v>0.22</v>
      </c>
      <c r="J24" s="8">
        <v>0.25</v>
      </c>
      <c r="K24" s="8">
        <v>0.24</v>
      </c>
      <c r="L24" s="8">
        <v>0.24</v>
      </c>
      <c r="M24" s="8">
        <v>0.24</v>
      </c>
      <c r="N24" s="8">
        <v>0.23</v>
      </c>
      <c r="O24" s="8">
        <v>0.26</v>
      </c>
      <c r="P24" s="8">
        <v>0.27</v>
      </c>
      <c r="Q24" s="8">
        <v>0.24</v>
      </c>
      <c r="R24" s="8">
        <v>0.25</v>
      </c>
      <c r="S24" s="8">
        <v>0.25</v>
      </c>
      <c r="T24" s="8">
        <v>0.25</v>
      </c>
      <c r="U24" s="8">
        <v>0.24</v>
      </c>
      <c r="V24" s="8">
        <v>0.25</v>
      </c>
      <c r="W24" s="8">
        <v>0.25</v>
      </c>
      <c r="X24" s="8">
        <v>0.25</v>
      </c>
      <c r="Y24" s="8">
        <v>0.25</v>
      </c>
      <c r="Z24" s="8">
        <v>0.26</v>
      </c>
      <c r="AC24" s="5">
        <f t="shared" si="0"/>
        <v>0.24136363636363634</v>
      </c>
    </row>
    <row r="25" spans="1:40" ht="14.25" customHeight="1" x14ac:dyDescent="0.3">
      <c r="A25" s="6" t="s">
        <v>51</v>
      </c>
      <c r="B25" s="6"/>
      <c r="C25" s="3" t="s">
        <v>52</v>
      </c>
      <c r="D25" s="6" t="s">
        <v>6</v>
      </c>
      <c r="E25" s="8">
        <v>0.09</v>
      </c>
      <c r="F25" s="8">
        <v>7.0000000000000007E-2</v>
      </c>
      <c r="G25" s="8">
        <v>0.08</v>
      </c>
      <c r="H25" s="8">
        <v>0.09</v>
      </c>
      <c r="I25" s="8">
        <v>0.09</v>
      </c>
      <c r="J25" s="8">
        <v>0.09</v>
      </c>
      <c r="K25" s="8">
        <v>0.1</v>
      </c>
      <c r="L25" s="8">
        <v>0.11</v>
      </c>
      <c r="M25" s="8">
        <v>0.11</v>
      </c>
      <c r="N25" s="8">
        <v>0.11</v>
      </c>
      <c r="O25" s="8">
        <v>0.1</v>
      </c>
      <c r="P25" s="8">
        <v>0.1</v>
      </c>
      <c r="Q25" s="8">
        <v>0.11</v>
      </c>
      <c r="R25" s="8">
        <v>0.1</v>
      </c>
      <c r="S25" s="8">
        <v>0.1</v>
      </c>
      <c r="T25" s="8">
        <v>0.1</v>
      </c>
      <c r="U25" s="8">
        <v>0.1</v>
      </c>
      <c r="V25" s="8">
        <v>0.09</v>
      </c>
      <c r="W25" s="8">
        <v>0.09</v>
      </c>
      <c r="X25" s="8">
        <v>0.09</v>
      </c>
      <c r="Y25" s="8">
        <v>0.09</v>
      </c>
      <c r="Z25" s="8">
        <v>0.1</v>
      </c>
      <c r="AC25" s="5">
        <f t="shared" si="0"/>
        <v>9.5909090909090944E-2</v>
      </c>
    </row>
    <row r="26" spans="1:40" ht="14.25" customHeight="1" x14ac:dyDescent="0.3">
      <c r="A26" s="6" t="s">
        <v>53</v>
      </c>
      <c r="B26" s="6"/>
      <c r="C26" s="3" t="s">
        <v>54</v>
      </c>
      <c r="D26" s="9" t="s">
        <v>6</v>
      </c>
      <c r="E26" s="10">
        <v>0.17</v>
      </c>
      <c r="F26" s="10">
        <v>0.17</v>
      </c>
      <c r="G26" s="10">
        <v>0.17</v>
      </c>
      <c r="H26" s="10">
        <v>0.17</v>
      </c>
      <c r="I26" s="10">
        <v>0.17</v>
      </c>
      <c r="J26" s="10">
        <v>0.17</v>
      </c>
      <c r="K26" s="10">
        <v>0.17</v>
      </c>
      <c r="L26" s="10">
        <v>0.18</v>
      </c>
      <c r="M26" s="10">
        <v>0.19</v>
      </c>
      <c r="N26" s="10">
        <v>0.19</v>
      </c>
      <c r="O26" s="10">
        <v>0.22</v>
      </c>
      <c r="P26" s="10">
        <v>0.21</v>
      </c>
      <c r="Q26" s="10">
        <v>0.22</v>
      </c>
      <c r="R26" s="10">
        <v>0.21</v>
      </c>
      <c r="S26" s="10">
        <v>0.22</v>
      </c>
      <c r="T26" s="10">
        <v>0.23</v>
      </c>
      <c r="U26" s="10">
        <v>0.24</v>
      </c>
      <c r="V26" s="10">
        <v>0.25</v>
      </c>
      <c r="W26" s="10">
        <v>0.25</v>
      </c>
      <c r="X26" s="10">
        <v>0.24</v>
      </c>
      <c r="Y26" s="10">
        <v>0.24</v>
      </c>
      <c r="Z26" s="10">
        <v>0.23</v>
      </c>
      <c r="AA26" s="11"/>
      <c r="AB26" s="11"/>
      <c r="AC26" s="5">
        <f t="shared" si="0"/>
        <v>0.20500000000000004</v>
      </c>
      <c r="AD26" s="11"/>
      <c r="AE26" s="11"/>
      <c r="AF26" s="11"/>
      <c r="AG26" s="11"/>
      <c r="AH26" s="11"/>
      <c r="AI26" s="11"/>
      <c r="AJ26" s="11"/>
      <c r="AK26" s="11"/>
      <c r="AL26" s="11"/>
      <c r="AM26" s="11"/>
      <c r="AN26" s="11"/>
    </row>
    <row r="27" spans="1:40" ht="14.25" customHeight="1" x14ac:dyDescent="0.3">
      <c r="A27" s="6" t="s">
        <v>55</v>
      </c>
      <c r="B27" s="6"/>
      <c r="C27" s="3" t="s">
        <v>56</v>
      </c>
      <c r="D27" s="6" t="s">
        <v>6</v>
      </c>
      <c r="E27" s="7">
        <v>0.31</v>
      </c>
      <c r="F27" s="7">
        <v>0.3</v>
      </c>
      <c r="G27" s="7">
        <v>0.35</v>
      </c>
      <c r="H27" s="7">
        <v>0.34</v>
      </c>
      <c r="I27" s="7">
        <v>0.31</v>
      </c>
      <c r="J27" s="7">
        <v>0.38</v>
      </c>
      <c r="K27" s="7">
        <v>0.39</v>
      </c>
      <c r="L27" s="7">
        <v>0.41</v>
      </c>
      <c r="M27" s="7">
        <v>0.41</v>
      </c>
      <c r="N27" s="7">
        <v>0.46</v>
      </c>
      <c r="O27" s="7">
        <v>0.44</v>
      </c>
      <c r="P27" s="7">
        <v>0.35</v>
      </c>
      <c r="Q27" s="7">
        <v>0.34</v>
      </c>
      <c r="R27" s="7">
        <v>0.32</v>
      </c>
      <c r="S27" s="7">
        <v>0.39</v>
      </c>
      <c r="T27" s="7">
        <v>0.36</v>
      </c>
      <c r="U27" s="7">
        <v>0.36</v>
      </c>
      <c r="V27" s="7">
        <v>0.37</v>
      </c>
      <c r="W27" s="7">
        <v>0.38</v>
      </c>
      <c r="X27" s="7">
        <v>0.35</v>
      </c>
      <c r="Y27" s="7">
        <v>0.38</v>
      </c>
      <c r="Z27" s="7">
        <v>0.38</v>
      </c>
      <c r="AC27" s="5">
        <f t="shared" si="0"/>
        <v>0.36727272727272725</v>
      </c>
    </row>
    <row r="28" spans="1:40" ht="14.25" customHeight="1" x14ac:dyDescent="0.3">
      <c r="A28" s="5" t="s">
        <v>57</v>
      </c>
      <c r="C28" s="3" t="s">
        <v>58</v>
      </c>
      <c r="D28" s="6" t="s">
        <v>6</v>
      </c>
      <c r="E28" s="8">
        <v>0.14000000000000001</v>
      </c>
      <c r="F28" s="8">
        <v>0.14000000000000001</v>
      </c>
      <c r="G28" s="8">
        <v>0.17</v>
      </c>
      <c r="H28" s="8">
        <v>0.14000000000000001</v>
      </c>
      <c r="I28" s="8">
        <v>0.16</v>
      </c>
      <c r="J28" s="8">
        <v>0.15</v>
      </c>
      <c r="K28" s="8">
        <v>0.17</v>
      </c>
      <c r="L28" s="8">
        <v>0.18</v>
      </c>
      <c r="M28" s="8">
        <v>0.18</v>
      </c>
      <c r="N28" s="8">
        <v>0.16</v>
      </c>
      <c r="O28" s="8">
        <v>0.17</v>
      </c>
      <c r="P28" s="8">
        <v>0.19</v>
      </c>
      <c r="Q28" s="8">
        <v>0.19</v>
      </c>
      <c r="R28" s="8">
        <v>0.19</v>
      </c>
      <c r="S28" s="8">
        <v>0.18</v>
      </c>
      <c r="T28" s="8">
        <v>0.19</v>
      </c>
      <c r="U28" s="8">
        <v>0.19</v>
      </c>
      <c r="V28" s="8">
        <v>0.19</v>
      </c>
      <c r="W28" s="8">
        <v>0.19</v>
      </c>
      <c r="X28" s="8">
        <v>0.19</v>
      </c>
      <c r="Y28" s="8">
        <v>0.2</v>
      </c>
      <c r="Z28" s="8">
        <v>0.2</v>
      </c>
      <c r="AC28" s="5">
        <f t="shared" si="0"/>
        <v>0.17545454545454545</v>
      </c>
    </row>
    <row r="29" spans="1:40" ht="14.25" customHeight="1" x14ac:dyDescent="0.3"/>
    <row r="30" spans="1:40" ht="14.25" customHeight="1" x14ac:dyDescent="0.3"/>
    <row r="31" spans="1:40" ht="14.25" customHeight="1" x14ac:dyDescent="0.3"/>
    <row r="32" spans="1:40" ht="14.25" customHeight="1" x14ac:dyDescent="0.3"/>
    <row r="33" spans="1:4" ht="14.25" customHeight="1" x14ac:dyDescent="0.3">
      <c r="A33" s="5" t="s">
        <v>59</v>
      </c>
      <c r="D33" s="12" t="s">
        <v>60</v>
      </c>
    </row>
    <row r="34" spans="1:4" ht="14.25" customHeight="1" x14ac:dyDescent="0.3">
      <c r="D34" s="5" t="s">
        <v>61</v>
      </c>
    </row>
    <row r="35" spans="1:4" ht="14.25" customHeight="1" x14ac:dyDescent="0.3"/>
    <row r="36" spans="1:4" ht="14.25" customHeight="1" x14ac:dyDescent="0.3"/>
    <row r="37" spans="1:4" ht="14.25" customHeight="1" x14ac:dyDescent="0.3"/>
    <row r="38" spans="1:4" ht="14.25" customHeight="1" x14ac:dyDescent="0.3"/>
    <row r="39" spans="1:4" ht="14.25" customHeight="1" x14ac:dyDescent="0.3"/>
    <row r="40" spans="1:4" ht="14.25" customHeight="1" x14ac:dyDescent="0.3"/>
    <row r="41" spans="1:4" ht="14.25" customHeight="1" x14ac:dyDescent="0.3"/>
    <row r="42" spans="1:4" ht="14.25" customHeight="1" x14ac:dyDescent="0.3"/>
    <row r="43" spans="1:4" ht="14.25" customHeight="1" x14ac:dyDescent="0.3"/>
    <row r="44" spans="1:4" ht="14.25" customHeight="1" x14ac:dyDescent="0.3"/>
    <row r="45" spans="1:4" ht="14.25" customHeight="1" x14ac:dyDescent="0.3"/>
    <row r="46" spans="1:4" ht="14.25" customHeight="1" x14ac:dyDescent="0.3"/>
    <row r="47" spans="1:4" ht="14.25" customHeight="1" x14ac:dyDescent="0.3"/>
    <row r="48" spans="1:4"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sheetData>
  <hyperlinks>
    <hyperlink ref="D33" r:id="rId1" xr:uid="{00000000-0004-0000-0000-000000000000}"/>
  </hyperlinks>
  <pageMargins left="0.7" right="0.7" top="0.75" bottom="0.75" header="0" footer="0"/>
  <pageSetup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308"/>
  <sheetViews>
    <sheetView workbookViewId="0"/>
  </sheetViews>
  <sheetFormatPr defaultColWidth="14.44140625" defaultRowHeight="15" customHeight="1" x14ac:dyDescent="0.3"/>
  <sheetData>
    <row r="1" spans="1:24" ht="15" customHeight="1" x14ac:dyDescent="0.35">
      <c r="A1" s="26" t="s">
        <v>62</v>
      </c>
      <c r="B1" s="27"/>
      <c r="C1" s="27"/>
      <c r="D1" s="27"/>
      <c r="E1" s="27"/>
      <c r="F1" s="27"/>
      <c r="G1" s="27"/>
      <c r="H1" s="27"/>
      <c r="I1" s="27"/>
      <c r="J1" s="27"/>
      <c r="K1" s="27"/>
      <c r="L1" s="27"/>
      <c r="M1" s="27"/>
      <c r="N1" s="27"/>
      <c r="O1" s="2"/>
      <c r="P1" s="2"/>
      <c r="Q1" s="2"/>
      <c r="R1" s="2"/>
      <c r="S1" s="2"/>
      <c r="T1" s="2"/>
      <c r="U1" s="2"/>
      <c r="V1" s="2"/>
      <c r="W1" s="2"/>
      <c r="X1" s="2"/>
    </row>
    <row r="2" spans="1:24" x14ac:dyDescent="0.3">
      <c r="A2" s="2"/>
      <c r="B2" s="2"/>
      <c r="C2" s="4">
        <v>2000</v>
      </c>
      <c r="D2" s="4">
        <v>2001</v>
      </c>
      <c r="E2" s="4">
        <v>2002</v>
      </c>
      <c r="F2" s="4">
        <v>2003</v>
      </c>
      <c r="G2" s="4">
        <v>2004</v>
      </c>
      <c r="H2" s="4">
        <v>2005</v>
      </c>
      <c r="I2" s="4">
        <v>2006</v>
      </c>
      <c r="J2" s="4">
        <v>2007</v>
      </c>
      <c r="K2" s="4">
        <v>2008</v>
      </c>
      <c r="L2" s="4">
        <v>2009</v>
      </c>
      <c r="M2" s="4">
        <v>2010</v>
      </c>
      <c r="N2" s="4">
        <v>2011</v>
      </c>
      <c r="O2" s="4">
        <v>2012</v>
      </c>
      <c r="P2" s="4">
        <v>2013</v>
      </c>
      <c r="Q2" s="4">
        <v>2014</v>
      </c>
      <c r="R2" s="4">
        <v>2015</v>
      </c>
      <c r="S2" s="4">
        <v>2016</v>
      </c>
      <c r="T2" s="4">
        <v>2017</v>
      </c>
      <c r="U2" s="4">
        <v>2018</v>
      </c>
      <c r="V2" s="4">
        <v>2019</v>
      </c>
      <c r="W2" s="4">
        <v>2020</v>
      </c>
      <c r="X2" s="4">
        <v>2021</v>
      </c>
    </row>
    <row r="3" spans="1:24" x14ac:dyDescent="0.3">
      <c r="A3" s="28" t="s">
        <v>4</v>
      </c>
      <c r="B3" s="6" t="s">
        <v>6</v>
      </c>
      <c r="C3" s="7">
        <v>0.09</v>
      </c>
      <c r="D3" s="7">
        <v>0.09</v>
      </c>
      <c r="E3" s="7">
        <v>0.1</v>
      </c>
      <c r="F3" s="7">
        <v>0.1</v>
      </c>
      <c r="G3" s="7">
        <v>0.11</v>
      </c>
      <c r="H3" s="7">
        <v>0.11</v>
      </c>
      <c r="I3" s="7">
        <v>0.12</v>
      </c>
      <c r="J3" s="7">
        <v>0.13</v>
      </c>
      <c r="K3" s="7">
        <v>0.14000000000000001</v>
      </c>
      <c r="L3" s="7">
        <v>0.16</v>
      </c>
      <c r="M3" s="7">
        <v>0.15</v>
      </c>
      <c r="N3" s="7">
        <v>0.14000000000000001</v>
      </c>
      <c r="O3" s="7">
        <v>0.13</v>
      </c>
      <c r="P3" s="7">
        <v>0.14000000000000001</v>
      </c>
      <c r="Q3" s="7">
        <v>0.13</v>
      </c>
      <c r="R3" s="7">
        <v>0.15</v>
      </c>
      <c r="S3" s="7">
        <v>0.15</v>
      </c>
      <c r="T3" s="7">
        <v>0.15</v>
      </c>
      <c r="U3" s="7">
        <v>0.14000000000000001</v>
      </c>
      <c r="V3" s="7">
        <v>0.1</v>
      </c>
      <c r="W3" s="7">
        <v>0.13</v>
      </c>
      <c r="X3" s="7">
        <v>0.14000000000000001</v>
      </c>
    </row>
    <row r="4" spans="1:24" x14ac:dyDescent="0.3">
      <c r="A4" s="27"/>
      <c r="B4" s="6" t="s">
        <v>63</v>
      </c>
      <c r="C4" s="8">
        <v>0.02</v>
      </c>
      <c r="D4" s="8">
        <v>0.02</v>
      </c>
      <c r="E4" s="8">
        <v>0.02</v>
      </c>
      <c r="F4" s="8">
        <v>0.02</v>
      </c>
      <c r="G4" s="8">
        <v>0.03</v>
      </c>
      <c r="H4" s="8">
        <v>0.03</v>
      </c>
      <c r="I4" s="8">
        <v>0.05</v>
      </c>
      <c r="J4" s="8">
        <v>0.06</v>
      </c>
      <c r="K4" s="8">
        <v>0.08</v>
      </c>
      <c r="L4" s="8">
        <v>0.1</v>
      </c>
      <c r="M4" s="8">
        <v>0.13</v>
      </c>
      <c r="N4" s="8">
        <v>0.15</v>
      </c>
      <c r="O4" s="8">
        <v>0.17</v>
      </c>
      <c r="P4" s="8">
        <v>0.19</v>
      </c>
      <c r="Q4" s="8">
        <v>0.2</v>
      </c>
      <c r="R4" s="8">
        <v>0.21</v>
      </c>
      <c r="S4" s="8">
        <v>0.2</v>
      </c>
      <c r="T4" s="8">
        <v>0.21</v>
      </c>
      <c r="U4" s="8">
        <v>0.19</v>
      </c>
      <c r="V4" s="8">
        <v>0.19</v>
      </c>
      <c r="W4" s="8">
        <v>0.18</v>
      </c>
      <c r="X4" s="8">
        <v>0.17</v>
      </c>
    </row>
    <row r="5" spans="1:24" x14ac:dyDescent="0.3">
      <c r="A5" s="27"/>
      <c r="B5" s="6" t="s">
        <v>64</v>
      </c>
      <c r="C5" s="7">
        <v>0.03</v>
      </c>
      <c r="D5" s="7">
        <v>0.03</v>
      </c>
      <c r="E5" s="7">
        <v>0.05</v>
      </c>
      <c r="F5" s="7">
        <v>0.06</v>
      </c>
      <c r="G5" s="7">
        <v>0.05</v>
      </c>
      <c r="H5" s="7">
        <v>0.05</v>
      </c>
      <c r="I5" s="7">
        <v>0.04</v>
      </c>
      <c r="J5" s="7">
        <v>0.04</v>
      </c>
      <c r="K5" s="7">
        <v>0.04</v>
      </c>
      <c r="L5" s="7">
        <v>7.0000000000000007E-2</v>
      </c>
      <c r="M5" s="7">
        <v>7.0000000000000007E-2</v>
      </c>
      <c r="N5" s="7">
        <v>0.06</v>
      </c>
      <c r="O5" s="7">
        <v>0.06</v>
      </c>
      <c r="P5" s="7">
        <v>0.06</v>
      </c>
      <c r="Q5" s="7">
        <v>0.06</v>
      </c>
      <c r="R5" s="7">
        <v>7.0000000000000007E-2</v>
      </c>
      <c r="S5" s="7">
        <v>0.06</v>
      </c>
      <c r="T5" s="7">
        <v>0.05</v>
      </c>
      <c r="U5" s="7">
        <v>0.04</v>
      </c>
      <c r="V5" s="7">
        <v>0.05</v>
      </c>
      <c r="W5" s="7">
        <v>0.04</v>
      </c>
      <c r="X5" s="7">
        <v>0.04</v>
      </c>
    </row>
    <row r="6" spans="1:24" x14ac:dyDescent="0.3">
      <c r="A6" s="27"/>
      <c r="B6" s="6" t="s">
        <v>65</v>
      </c>
      <c r="C6" s="8">
        <v>0.4</v>
      </c>
      <c r="D6" s="8">
        <v>0.38</v>
      </c>
      <c r="E6" s="8">
        <v>0.42</v>
      </c>
      <c r="F6" s="8">
        <v>0.4</v>
      </c>
      <c r="G6" s="8">
        <v>0.41</v>
      </c>
      <c r="H6" s="8">
        <v>0.42</v>
      </c>
      <c r="I6" s="8">
        <v>0.51</v>
      </c>
      <c r="J6" s="8">
        <v>0.61</v>
      </c>
      <c r="K6" s="8">
        <v>0.72</v>
      </c>
      <c r="L6" s="8">
        <v>0.7</v>
      </c>
      <c r="M6" s="8">
        <v>0.68</v>
      </c>
      <c r="N6" s="8">
        <v>0.61</v>
      </c>
      <c r="O6" s="8">
        <v>0.54</v>
      </c>
      <c r="P6" s="8">
        <v>0.56000000000000005</v>
      </c>
      <c r="Q6" s="8">
        <v>0.46</v>
      </c>
      <c r="R6" s="8">
        <v>0.52</v>
      </c>
      <c r="S6" s="8">
        <v>0.56000000000000005</v>
      </c>
      <c r="T6" s="8">
        <v>0.56999999999999995</v>
      </c>
      <c r="U6" s="8">
        <v>0.56999999999999995</v>
      </c>
      <c r="V6" s="8">
        <v>0.18</v>
      </c>
      <c r="W6" s="8">
        <v>0.36</v>
      </c>
      <c r="X6" s="8">
        <v>0.57999999999999996</v>
      </c>
    </row>
    <row r="7" spans="1:24" x14ac:dyDescent="0.3">
      <c r="A7" s="27"/>
      <c r="B7" s="6" t="s">
        <v>66</v>
      </c>
      <c r="C7" s="7">
        <v>0.13</v>
      </c>
      <c r="D7" s="7">
        <v>0.13</v>
      </c>
      <c r="E7" s="7">
        <v>0.14000000000000001</v>
      </c>
      <c r="F7" s="7">
        <v>0.14000000000000001</v>
      </c>
      <c r="G7" s="7">
        <v>0.14000000000000001</v>
      </c>
      <c r="H7" s="7">
        <v>0.15</v>
      </c>
      <c r="I7" s="7">
        <v>0.18</v>
      </c>
      <c r="J7" s="7">
        <v>0.21</v>
      </c>
      <c r="K7" s="7">
        <v>0.25</v>
      </c>
      <c r="L7" s="7">
        <v>0.26</v>
      </c>
      <c r="M7" s="7">
        <v>0.27</v>
      </c>
      <c r="N7" s="7">
        <v>0.26</v>
      </c>
      <c r="O7" s="7">
        <v>0.25</v>
      </c>
      <c r="P7" s="7">
        <v>0.26</v>
      </c>
      <c r="Q7" s="7">
        <v>0.24</v>
      </c>
      <c r="R7" s="7">
        <v>0.26</v>
      </c>
      <c r="S7" s="7">
        <v>0.26</v>
      </c>
      <c r="T7" s="7">
        <v>0.26</v>
      </c>
      <c r="U7" s="7">
        <v>0.26</v>
      </c>
      <c r="V7" s="7">
        <v>0.15</v>
      </c>
      <c r="W7" s="7">
        <v>0.2</v>
      </c>
      <c r="X7" s="7">
        <v>0.25</v>
      </c>
    </row>
    <row r="8" spans="1:24" x14ac:dyDescent="0.3">
      <c r="A8" s="27"/>
      <c r="B8" s="6" t="s">
        <v>67</v>
      </c>
      <c r="C8" s="8">
        <v>0.01</v>
      </c>
      <c r="D8" s="8">
        <v>0.01</v>
      </c>
      <c r="E8" s="8">
        <v>0.01</v>
      </c>
      <c r="F8" s="8">
        <v>0.01</v>
      </c>
      <c r="G8" s="8">
        <v>0.01</v>
      </c>
      <c r="H8" s="8">
        <v>0.01</v>
      </c>
      <c r="I8" s="8">
        <v>0.01</v>
      </c>
      <c r="J8" s="8">
        <v>0.01</v>
      </c>
      <c r="K8" s="8">
        <v>0.01</v>
      </c>
      <c r="L8" s="8">
        <v>0.01</v>
      </c>
      <c r="M8" s="8">
        <v>0.01</v>
      </c>
      <c r="N8" s="8">
        <v>0.01</v>
      </c>
      <c r="O8" s="8">
        <v>0.01</v>
      </c>
      <c r="P8" s="8">
        <v>0.01</v>
      </c>
      <c r="Q8" s="8">
        <v>0.01</v>
      </c>
      <c r="R8" s="8">
        <v>0.01</v>
      </c>
      <c r="S8" s="8">
        <v>0.01</v>
      </c>
      <c r="T8" s="8">
        <v>0</v>
      </c>
      <c r="U8" s="8">
        <v>0</v>
      </c>
      <c r="V8" s="8">
        <v>0</v>
      </c>
      <c r="W8" s="8">
        <v>0.01</v>
      </c>
      <c r="X8" s="8">
        <v>0</v>
      </c>
    </row>
    <row r="9" spans="1:24" x14ac:dyDescent="0.3">
      <c r="A9" s="27"/>
      <c r="B9" s="6" t="s">
        <v>68</v>
      </c>
      <c r="C9" s="7">
        <v>0.14000000000000001</v>
      </c>
      <c r="D9" s="7">
        <v>0.15</v>
      </c>
      <c r="E9" s="7">
        <v>0.15</v>
      </c>
      <c r="F9" s="7">
        <v>0.15</v>
      </c>
      <c r="G9" s="7">
        <v>0.18</v>
      </c>
      <c r="H9" s="7">
        <v>0.15</v>
      </c>
      <c r="I9" s="7">
        <v>0.11</v>
      </c>
      <c r="J9" s="7">
        <v>0.09</v>
      </c>
      <c r="K9" s="7">
        <v>7.0000000000000007E-2</v>
      </c>
      <c r="L9" s="7">
        <v>0.1</v>
      </c>
      <c r="M9" s="7">
        <v>7.0000000000000007E-2</v>
      </c>
      <c r="N9" s="7">
        <v>0.05</v>
      </c>
      <c r="O9" s="7">
        <v>0.03</v>
      </c>
      <c r="P9" s="7">
        <v>0.05</v>
      </c>
      <c r="Q9" s="7">
        <v>0.06</v>
      </c>
      <c r="R9" s="7">
        <v>0.08</v>
      </c>
      <c r="S9" s="7">
        <v>0.09</v>
      </c>
      <c r="T9" s="7">
        <v>7.0000000000000007E-2</v>
      </c>
      <c r="U9" s="7">
        <v>7.0000000000000007E-2</v>
      </c>
      <c r="V9" s="7">
        <v>0.1</v>
      </c>
      <c r="W9" s="7">
        <v>0.16</v>
      </c>
      <c r="X9" s="7">
        <v>0.06</v>
      </c>
    </row>
    <row r="10" spans="1:24" x14ac:dyDescent="0.3">
      <c r="A10" s="27"/>
      <c r="B10" s="6" t="s">
        <v>69</v>
      </c>
      <c r="C10" s="8">
        <v>0</v>
      </c>
      <c r="D10" s="8">
        <v>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row>
    <row r="11" spans="1:24" x14ac:dyDescent="0.3">
      <c r="A11" s="27"/>
      <c r="B11" s="6" t="s">
        <v>70</v>
      </c>
      <c r="C11" s="7">
        <v>0.06</v>
      </c>
      <c r="D11" s="7">
        <v>0.06</v>
      </c>
      <c r="E11" s="7">
        <v>0.06</v>
      </c>
      <c r="F11" s="7">
        <v>0.06</v>
      </c>
      <c r="G11" s="7">
        <v>7.0000000000000007E-2</v>
      </c>
      <c r="H11" s="7">
        <v>0.06</v>
      </c>
      <c r="I11" s="7">
        <v>0.05</v>
      </c>
      <c r="J11" s="7">
        <v>0.04</v>
      </c>
      <c r="K11" s="7">
        <v>0.03</v>
      </c>
      <c r="L11" s="7">
        <v>0.04</v>
      </c>
      <c r="M11" s="7">
        <v>0.03</v>
      </c>
      <c r="N11" s="7">
        <v>0.02</v>
      </c>
      <c r="O11" s="7">
        <v>0.01</v>
      </c>
      <c r="P11" s="7">
        <v>0.02</v>
      </c>
      <c r="Q11" s="7">
        <v>0.03</v>
      </c>
      <c r="R11" s="7">
        <v>0.03</v>
      </c>
      <c r="S11" s="7">
        <v>0.04</v>
      </c>
      <c r="T11" s="7">
        <v>0.03</v>
      </c>
      <c r="U11" s="7">
        <v>0.03</v>
      </c>
      <c r="V11" s="7">
        <v>0.04</v>
      </c>
      <c r="W11" s="7">
        <v>0.06</v>
      </c>
      <c r="X11" s="7">
        <v>0.02</v>
      </c>
    </row>
    <row r="12" spans="1:24" x14ac:dyDescent="0.3">
      <c r="A12" s="28" t="s">
        <v>7</v>
      </c>
      <c r="B12" s="6" t="s">
        <v>6</v>
      </c>
      <c r="C12" s="8">
        <v>0.22</v>
      </c>
      <c r="D12" s="8">
        <v>0.19</v>
      </c>
      <c r="E12" s="8">
        <v>0.2</v>
      </c>
      <c r="F12" s="8">
        <v>0.21</v>
      </c>
      <c r="G12" s="8">
        <v>0.19</v>
      </c>
      <c r="H12" s="8">
        <v>0.16</v>
      </c>
      <c r="I12" s="8">
        <v>0.14000000000000001</v>
      </c>
      <c r="J12" s="8">
        <v>0.15</v>
      </c>
      <c r="K12" s="8">
        <v>0.19</v>
      </c>
      <c r="L12" s="8">
        <v>0.2</v>
      </c>
      <c r="M12" s="8">
        <v>0.23</v>
      </c>
      <c r="N12" s="8">
        <v>0.21</v>
      </c>
      <c r="O12" s="8">
        <v>0.2</v>
      </c>
      <c r="P12" s="8">
        <v>0.21</v>
      </c>
      <c r="Q12" s="8">
        <v>0.26</v>
      </c>
      <c r="R12" s="8">
        <v>0.25</v>
      </c>
      <c r="S12" s="8">
        <v>0.25</v>
      </c>
      <c r="T12" s="8">
        <v>0.28000000000000003</v>
      </c>
      <c r="U12" s="8">
        <v>0.25</v>
      </c>
      <c r="V12" s="8">
        <v>0.25</v>
      </c>
      <c r="W12" s="8">
        <v>0.24</v>
      </c>
      <c r="X12" s="8">
        <v>0.24</v>
      </c>
    </row>
    <row r="13" spans="1:24" x14ac:dyDescent="0.3">
      <c r="A13" s="27"/>
      <c r="B13" s="6" t="s">
        <v>63</v>
      </c>
      <c r="C13" s="7">
        <v>0.08</v>
      </c>
      <c r="D13" s="7">
        <v>0.09</v>
      </c>
      <c r="E13" s="7">
        <v>0.09</v>
      </c>
      <c r="F13" s="7">
        <v>0.08</v>
      </c>
      <c r="G13" s="7">
        <v>0.08</v>
      </c>
      <c r="H13" s="7">
        <v>0.08</v>
      </c>
      <c r="I13" s="7">
        <v>0.09</v>
      </c>
      <c r="J13" s="7">
        <v>0.09</v>
      </c>
      <c r="K13" s="7">
        <v>0.09</v>
      </c>
      <c r="L13" s="7">
        <v>0.09</v>
      </c>
      <c r="M13" s="7">
        <v>0.1</v>
      </c>
      <c r="N13" s="7">
        <v>0.11</v>
      </c>
      <c r="O13" s="7">
        <v>0.11</v>
      </c>
      <c r="P13" s="7">
        <v>0.12</v>
      </c>
      <c r="Q13" s="7">
        <v>0.12</v>
      </c>
      <c r="R13" s="7">
        <v>0.13</v>
      </c>
      <c r="S13" s="7">
        <v>0.14000000000000001</v>
      </c>
      <c r="T13" s="7">
        <v>0.14000000000000001</v>
      </c>
      <c r="U13" s="7">
        <v>0.14000000000000001</v>
      </c>
      <c r="V13" s="7">
        <v>0.15</v>
      </c>
      <c r="W13" s="7">
        <v>0.15</v>
      </c>
      <c r="X13" s="7">
        <v>0.16</v>
      </c>
    </row>
    <row r="14" spans="1:24" x14ac:dyDescent="0.3">
      <c r="A14" s="27"/>
      <c r="B14" s="6" t="s">
        <v>64</v>
      </c>
      <c r="C14" s="8">
        <v>0.05</v>
      </c>
      <c r="D14" s="8">
        <v>0.05</v>
      </c>
      <c r="E14" s="8">
        <v>0.06</v>
      </c>
      <c r="F14" s="8">
        <v>0.06</v>
      </c>
      <c r="G14" s="8">
        <v>7.0000000000000007E-2</v>
      </c>
      <c r="H14" s="8">
        <v>7.0000000000000007E-2</v>
      </c>
      <c r="I14" s="8">
        <v>0.08</v>
      </c>
      <c r="J14" s="8">
        <v>0.08</v>
      </c>
      <c r="K14" s="8">
        <v>0.08</v>
      </c>
      <c r="L14" s="8">
        <v>0.09</v>
      </c>
      <c r="M14" s="8">
        <v>0.1</v>
      </c>
      <c r="N14" s="8">
        <v>0.1</v>
      </c>
      <c r="O14" s="8">
        <v>0.1</v>
      </c>
      <c r="P14" s="8">
        <v>0.1</v>
      </c>
      <c r="Q14" s="8">
        <v>0.1</v>
      </c>
      <c r="R14" s="8">
        <v>0.1</v>
      </c>
      <c r="S14" s="8">
        <v>0.1</v>
      </c>
      <c r="T14" s="8">
        <v>0.1</v>
      </c>
      <c r="U14" s="8">
        <v>0.1</v>
      </c>
      <c r="V14" s="8">
        <v>0.1</v>
      </c>
      <c r="W14" s="8">
        <v>0.1</v>
      </c>
      <c r="X14" s="8">
        <v>0.1</v>
      </c>
    </row>
    <row r="15" spans="1:24" x14ac:dyDescent="0.3">
      <c r="A15" s="27"/>
      <c r="B15" s="6" t="s">
        <v>65</v>
      </c>
      <c r="C15" s="7">
        <v>0.53</v>
      </c>
      <c r="D15" s="7">
        <v>0.57999999999999996</v>
      </c>
      <c r="E15" s="7">
        <v>0.56000000000000005</v>
      </c>
      <c r="F15" s="7">
        <v>0.6</v>
      </c>
      <c r="G15" s="7">
        <v>0.46</v>
      </c>
      <c r="H15" s="7">
        <v>0.62</v>
      </c>
      <c r="I15" s="7">
        <v>0.44</v>
      </c>
      <c r="J15" s="7">
        <v>0.44</v>
      </c>
      <c r="K15" s="7">
        <v>0.63</v>
      </c>
      <c r="L15" s="7">
        <v>0.64</v>
      </c>
      <c r="M15" s="7">
        <v>0.64</v>
      </c>
      <c r="N15" s="7">
        <v>0.65</v>
      </c>
      <c r="O15" s="7">
        <v>0.54</v>
      </c>
      <c r="P15" s="7">
        <v>0.67</v>
      </c>
      <c r="Q15" s="7">
        <v>0.65</v>
      </c>
      <c r="R15" s="7">
        <v>0.64</v>
      </c>
      <c r="S15" s="7">
        <v>0.62</v>
      </c>
      <c r="T15" s="7">
        <v>0.64</v>
      </c>
      <c r="U15" s="7">
        <v>0.66</v>
      </c>
      <c r="V15" s="7">
        <v>0.66</v>
      </c>
      <c r="W15" s="7">
        <v>0.66</v>
      </c>
      <c r="X15" s="7">
        <v>0.66</v>
      </c>
    </row>
    <row r="16" spans="1:24" x14ac:dyDescent="0.3">
      <c r="A16" s="27"/>
      <c r="B16" s="6" t="s">
        <v>66</v>
      </c>
      <c r="C16" s="8">
        <v>0.2</v>
      </c>
      <c r="D16" s="8">
        <v>0.22</v>
      </c>
      <c r="E16" s="8">
        <v>0.21</v>
      </c>
      <c r="F16" s="8">
        <v>0.23</v>
      </c>
      <c r="G16" s="8">
        <v>0.19</v>
      </c>
      <c r="H16" s="8">
        <v>0.24</v>
      </c>
      <c r="I16" s="8">
        <v>0.19</v>
      </c>
      <c r="J16" s="8">
        <v>0.19</v>
      </c>
      <c r="K16" s="8">
        <v>0.24</v>
      </c>
      <c r="L16" s="8">
        <v>0.25</v>
      </c>
      <c r="M16" s="8">
        <v>0.26</v>
      </c>
      <c r="N16" s="8">
        <v>0.27</v>
      </c>
      <c r="O16" s="8">
        <v>0.24</v>
      </c>
      <c r="P16" s="8">
        <v>0.27</v>
      </c>
      <c r="Q16" s="8">
        <v>0.27</v>
      </c>
      <c r="R16" s="8">
        <v>0.27</v>
      </c>
      <c r="S16" s="8">
        <v>0.27</v>
      </c>
      <c r="T16" s="8">
        <v>0.28000000000000003</v>
      </c>
      <c r="U16" s="8">
        <v>0.28000000000000003</v>
      </c>
      <c r="V16" s="8">
        <v>0.28000000000000003</v>
      </c>
      <c r="W16" s="8">
        <v>0.28999999999999998</v>
      </c>
      <c r="X16" s="8">
        <v>0.28999999999999998</v>
      </c>
    </row>
    <row r="17" spans="1:24" x14ac:dyDescent="0.3">
      <c r="A17" s="27"/>
      <c r="B17" s="6" t="s">
        <v>67</v>
      </c>
      <c r="C17" s="7">
        <v>0.16</v>
      </c>
      <c r="D17" s="7">
        <v>0.16</v>
      </c>
      <c r="E17" s="7">
        <v>0.16</v>
      </c>
      <c r="F17" s="7">
        <v>0.15</v>
      </c>
      <c r="G17" s="7">
        <v>0.15</v>
      </c>
      <c r="H17" s="7">
        <v>0.15</v>
      </c>
      <c r="I17" s="7">
        <v>0.16</v>
      </c>
      <c r="J17" s="7">
        <v>0.16</v>
      </c>
      <c r="K17" s="7">
        <v>0.18</v>
      </c>
      <c r="L17" s="7">
        <v>0.25</v>
      </c>
      <c r="M17" s="7">
        <v>0.33</v>
      </c>
      <c r="N17" s="7">
        <v>0.31</v>
      </c>
      <c r="O17" s="7">
        <v>0.28999999999999998</v>
      </c>
      <c r="P17" s="7">
        <v>0.28000000000000003</v>
      </c>
      <c r="Q17" s="7">
        <v>0.3</v>
      </c>
      <c r="R17" s="7">
        <v>0.28999999999999998</v>
      </c>
      <c r="S17" s="7">
        <v>0.3</v>
      </c>
      <c r="T17" s="7">
        <v>0.35</v>
      </c>
      <c r="U17" s="7">
        <v>0.3</v>
      </c>
      <c r="V17" s="7">
        <v>0.3</v>
      </c>
      <c r="W17" s="7">
        <v>0.3</v>
      </c>
      <c r="X17" s="7">
        <v>0.3</v>
      </c>
    </row>
    <row r="18" spans="1:24" x14ac:dyDescent="0.3">
      <c r="A18" s="27"/>
      <c r="B18" s="6" t="s">
        <v>68</v>
      </c>
      <c r="C18" s="8">
        <v>0.02</v>
      </c>
      <c r="D18" s="8">
        <v>0.01</v>
      </c>
      <c r="E18" s="8">
        <v>7.0000000000000007E-2</v>
      </c>
      <c r="F18" s="8">
        <v>7.0000000000000007E-2</v>
      </c>
      <c r="G18" s="8">
        <v>7.0000000000000007E-2</v>
      </c>
      <c r="H18" s="8">
        <v>0.01</v>
      </c>
      <c r="I18" s="8">
        <v>0.02</v>
      </c>
      <c r="J18" s="8">
        <v>0.03</v>
      </c>
      <c r="K18" s="8">
        <v>0.04</v>
      </c>
      <c r="L18" s="8">
        <v>0.06</v>
      </c>
      <c r="M18" s="8">
        <v>0.11</v>
      </c>
      <c r="N18" s="8">
        <v>0.1</v>
      </c>
      <c r="O18" s="8">
        <v>0.1</v>
      </c>
      <c r="P18" s="8">
        <v>0.09</v>
      </c>
      <c r="Q18" s="8">
        <v>0.14000000000000001</v>
      </c>
      <c r="R18" s="8">
        <v>0.11</v>
      </c>
      <c r="S18" s="8">
        <v>0.09</v>
      </c>
      <c r="T18" s="8">
        <v>0.11</v>
      </c>
      <c r="U18" s="8">
        <v>0.08</v>
      </c>
      <c r="V18" s="8">
        <v>7.0000000000000007E-2</v>
      </c>
      <c r="W18" s="8">
        <v>0.08</v>
      </c>
      <c r="X18" s="8">
        <v>0.08</v>
      </c>
    </row>
    <row r="19" spans="1:24" ht="14.4" x14ac:dyDescent="0.3">
      <c r="A19" s="27"/>
      <c r="B19" s="6" t="s">
        <v>69</v>
      </c>
      <c r="C19" s="7">
        <v>0.53</v>
      </c>
      <c r="D19" s="7">
        <v>0.33</v>
      </c>
      <c r="E19" s="7">
        <v>0.33</v>
      </c>
      <c r="F19" s="7">
        <v>0.33</v>
      </c>
      <c r="G19" s="7">
        <v>0.33</v>
      </c>
      <c r="H19" s="7">
        <v>0.08</v>
      </c>
      <c r="I19" s="7">
        <v>0.08</v>
      </c>
      <c r="J19" s="7">
        <v>0.1</v>
      </c>
      <c r="K19" s="7">
        <v>0.15</v>
      </c>
      <c r="L19" s="7">
        <v>0.14000000000000001</v>
      </c>
      <c r="M19" s="7">
        <v>0.14000000000000001</v>
      </c>
      <c r="N19" s="7">
        <v>0.06</v>
      </c>
      <c r="O19" s="7">
        <v>0.06</v>
      </c>
      <c r="P19" s="7">
        <v>0.03</v>
      </c>
      <c r="Q19" s="7">
        <v>0.28999999999999998</v>
      </c>
      <c r="R19" s="7">
        <v>0.26</v>
      </c>
      <c r="S19" s="7">
        <v>0.27</v>
      </c>
      <c r="T19" s="7">
        <v>0.38</v>
      </c>
      <c r="U19" s="7">
        <v>0.26</v>
      </c>
      <c r="V19" s="7">
        <v>0.25</v>
      </c>
      <c r="W19" s="7">
        <v>0.21</v>
      </c>
      <c r="X19" s="7">
        <v>0.21</v>
      </c>
    </row>
    <row r="20" spans="1:24" ht="14.4" x14ac:dyDescent="0.3">
      <c r="A20" s="27"/>
      <c r="B20" s="6" t="s">
        <v>70</v>
      </c>
      <c r="C20" s="8">
        <v>0.22</v>
      </c>
      <c r="D20" s="8">
        <v>0.16</v>
      </c>
      <c r="E20" s="8">
        <v>0.18</v>
      </c>
      <c r="F20" s="8">
        <v>0.18</v>
      </c>
      <c r="G20" s="8">
        <v>0.18</v>
      </c>
      <c r="H20" s="8">
        <v>0.08</v>
      </c>
      <c r="I20" s="8">
        <v>0.08</v>
      </c>
      <c r="J20" s="8">
        <v>0.1</v>
      </c>
      <c r="K20" s="8">
        <v>0.12</v>
      </c>
      <c r="L20" s="8">
        <v>0.15</v>
      </c>
      <c r="M20" s="8">
        <v>0.19</v>
      </c>
      <c r="N20" s="8">
        <v>0.15</v>
      </c>
      <c r="O20" s="8">
        <v>0.15</v>
      </c>
      <c r="P20" s="8">
        <v>0.13</v>
      </c>
      <c r="Q20" s="8">
        <v>0.24</v>
      </c>
      <c r="R20" s="8">
        <v>0.22</v>
      </c>
      <c r="S20" s="8">
        <v>0.21</v>
      </c>
      <c r="T20" s="8">
        <v>0.27</v>
      </c>
      <c r="U20" s="8">
        <v>0.21</v>
      </c>
      <c r="V20" s="8">
        <v>0.2</v>
      </c>
      <c r="W20" s="8">
        <v>0.19</v>
      </c>
      <c r="X20" s="8">
        <v>0.19</v>
      </c>
    </row>
    <row r="21" spans="1:24" ht="14.4" x14ac:dyDescent="0.3">
      <c r="A21" s="28" t="s">
        <v>9</v>
      </c>
      <c r="B21" s="6" t="s">
        <v>6</v>
      </c>
      <c r="C21" s="7">
        <v>0.11</v>
      </c>
      <c r="D21" s="7">
        <v>0.11</v>
      </c>
      <c r="E21" s="7">
        <v>0.12</v>
      </c>
      <c r="F21" s="7">
        <v>0.15</v>
      </c>
      <c r="G21" s="7">
        <v>0.15</v>
      </c>
      <c r="H21" s="7">
        <v>0.15</v>
      </c>
      <c r="I21" s="7">
        <v>0.16</v>
      </c>
      <c r="J21" s="7">
        <v>0.18</v>
      </c>
      <c r="K21" s="7">
        <v>0.18</v>
      </c>
      <c r="L21" s="7">
        <v>0.2</v>
      </c>
      <c r="M21" s="7">
        <v>0.2</v>
      </c>
      <c r="N21" s="7">
        <v>0.22</v>
      </c>
      <c r="O21" s="7">
        <v>0.23</v>
      </c>
      <c r="P21" s="7">
        <v>0.24</v>
      </c>
      <c r="Q21" s="7">
        <v>0.26</v>
      </c>
      <c r="R21" s="7">
        <v>0.28000000000000003</v>
      </c>
      <c r="S21" s="7">
        <v>0.3</v>
      </c>
      <c r="T21" s="7">
        <v>0.31</v>
      </c>
      <c r="U21" s="7">
        <v>0.32</v>
      </c>
      <c r="V21" s="7">
        <v>0.33</v>
      </c>
      <c r="W21" s="7">
        <v>0.35</v>
      </c>
      <c r="X21" s="7">
        <v>0.39</v>
      </c>
    </row>
    <row r="22" spans="1:24" ht="14.4" x14ac:dyDescent="0.3">
      <c r="A22" s="27"/>
      <c r="B22" s="6" t="s">
        <v>63</v>
      </c>
      <c r="C22" s="8">
        <v>0.08</v>
      </c>
      <c r="D22" s="8">
        <v>0.08</v>
      </c>
      <c r="E22" s="8">
        <v>0.09</v>
      </c>
      <c r="F22" s="8">
        <v>0.09</v>
      </c>
      <c r="G22" s="8">
        <v>0.1</v>
      </c>
      <c r="H22" s="8">
        <v>0.11</v>
      </c>
      <c r="I22" s="8">
        <v>0.12</v>
      </c>
      <c r="J22" s="8">
        <v>0.24</v>
      </c>
      <c r="K22" s="8">
        <v>0.25</v>
      </c>
      <c r="L22" s="8">
        <v>0.28999999999999998</v>
      </c>
      <c r="M22" s="8">
        <v>0.33</v>
      </c>
      <c r="N22" s="8">
        <v>0.39</v>
      </c>
      <c r="O22" s="8">
        <v>0.42</v>
      </c>
      <c r="P22" s="8">
        <v>0.48</v>
      </c>
      <c r="Q22" s="8">
        <v>0.53</v>
      </c>
      <c r="R22" s="8">
        <v>0.56999999999999995</v>
      </c>
      <c r="S22" s="8">
        <v>0.63</v>
      </c>
      <c r="T22" s="8">
        <v>0.65</v>
      </c>
      <c r="U22" s="8">
        <v>0.66</v>
      </c>
      <c r="V22" s="8">
        <v>0.68</v>
      </c>
      <c r="W22" s="8">
        <v>0.69</v>
      </c>
      <c r="X22" s="8">
        <v>0.69</v>
      </c>
    </row>
    <row r="23" spans="1:24" ht="14.4" x14ac:dyDescent="0.3">
      <c r="A23" s="27"/>
      <c r="B23" s="6" t="s">
        <v>64</v>
      </c>
      <c r="C23" s="7">
        <v>0.21</v>
      </c>
      <c r="D23" s="7">
        <v>0.21</v>
      </c>
      <c r="E23" s="7">
        <v>0.24</v>
      </c>
      <c r="F23" s="7">
        <v>0.26</v>
      </c>
      <c r="G23" s="7">
        <v>0.25</v>
      </c>
      <c r="H23" s="7">
        <v>0.25</v>
      </c>
      <c r="I23" s="7">
        <v>0.22</v>
      </c>
      <c r="J23" s="7">
        <v>0.21</v>
      </c>
      <c r="K23" s="7">
        <v>0.22</v>
      </c>
      <c r="L23" s="7">
        <v>0.25</v>
      </c>
      <c r="M23" s="7">
        <v>0.25</v>
      </c>
      <c r="N23" s="7">
        <v>0.25</v>
      </c>
      <c r="O23" s="7">
        <v>0.26</v>
      </c>
      <c r="P23" s="7">
        <v>0.28000000000000003</v>
      </c>
      <c r="Q23" s="7">
        <v>0.28999999999999998</v>
      </c>
      <c r="R23" s="7">
        <v>0.34</v>
      </c>
      <c r="S23" s="7">
        <v>0.38</v>
      </c>
      <c r="T23" s="7">
        <v>0.38</v>
      </c>
      <c r="U23" s="7">
        <v>0.4</v>
      </c>
      <c r="V23" s="7">
        <v>0.42</v>
      </c>
      <c r="W23" s="7">
        <v>0.49</v>
      </c>
      <c r="X23" s="7">
        <v>0.69</v>
      </c>
    </row>
    <row r="24" spans="1:24" ht="14.4" x14ac:dyDescent="0.3">
      <c r="A24" s="27"/>
      <c r="B24" s="6" t="s">
        <v>65</v>
      </c>
      <c r="C24" s="8">
        <v>0.3</v>
      </c>
      <c r="D24" s="8">
        <v>0.3</v>
      </c>
      <c r="E24" s="8">
        <v>0.31</v>
      </c>
      <c r="F24" s="8">
        <v>0.47</v>
      </c>
      <c r="G24" s="8">
        <v>0.47</v>
      </c>
      <c r="H24" s="8">
        <v>0.43</v>
      </c>
      <c r="I24" s="8">
        <v>0.57999999999999996</v>
      </c>
      <c r="J24" s="8">
        <v>0.54</v>
      </c>
      <c r="K24" s="8">
        <v>0.53</v>
      </c>
      <c r="L24" s="8">
        <v>0.55000000000000004</v>
      </c>
      <c r="M24" s="8">
        <v>0.53</v>
      </c>
      <c r="N24" s="8">
        <v>0.55000000000000004</v>
      </c>
      <c r="O24" s="8">
        <v>0.56000000000000005</v>
      </c>
      <c r="P24" s="8">
        <v>0.51</v>
      </c>
      <c r="Q24" s="8">
        <v>0.55000000000000004</v>
      </c>
      <c r="R24" s="8">
        <v>0.54</v>
      </c>
      <c r="S24" s="8">
        <v>0.56000000000000005</v>
      </c>
      <c r="T24" s="8">
        <v>0.57999999999999996</v>
      </c>
      <c r="U24" s="8">
        <v>0.59</v>
      </c>
      <c r="V24" s="8">
        <v>0.59</v>
      </c>
      <c r="W24" s="8">
        <v>0.62</v>
      </c>
      <c r="X24" s="8">
        <v>0.6</v>
      </c>
    </row>
    <row r="25" spans="1:24" ht="14.4" x14ac:dyDescent="0.3">
      <c r="A25" s="27"/>
      <c r="B25" s="6" t="s">
        <v>66</v>
      </c>
      <c r="C25" s="7">
        <v>0.21</v>
      </c>
      <c r="D25" s="7">
        <v>0.21</v>
      </c>
      <c r="E25" s="7">
        <v>0.23</v>
      </c>
      <c r="F25" s="7">
        <v>0.28000000000000003</v>
      </c>
      <c r="G25" s="7">
        <v>0.28000000000000003</v>
      </c>
      <c r="H25" s="7">
        <v>0.27</v>
      </c>
      <c r="I25" s="7">
        <v>0.31</v>
      </c>
      <c r="J25" s="7">
        <v>0.34</v>
      </c>
      <c r="K25" s="7">
        <v>0.35</v>
      </c>
      <c r="L25" s="7">
        <v>0.38</v>
      </c>
      <c r="M25" s="7">
        <v>0.39</v>
      </c>
      <c r="N25" s="7">
        <v>0.43</v>
      </c>
      <c r="O25" s="7">
        <v>0.45</v>
      </c>
      <c r="P25" s="7">
        <v>0.46</v>
      </c>
      <c r="Q25" s="7">
        <v>0.5</v>
      </c>
      <c r="R25" s="7">
        <v>0.54</v>
      </c>
      <c r="S25" s="7">
        <v>0.59</v>
      </c>
      <c r="T25" s="7">
        <v>0.6</v>
      </c>
      <c r="U25" s="7">
        <v>0.61</v>
      </c>
      <c r="V25" s="7">
        <v>0.64</v>
      </c>
      <c r="W25" s="7">
        <v>0.68</v>
      </c>
      <c r="X25" s="7">
        <v>0.76</v>
      </c>
    </row>
    <row r="26" spans="1:24" ht="14.4" x14ac:dyDescent="0.3">
      <c r="A26" s="27"/>
      <c r="B26" s="6" t="s">
        <v>67</v>
      </c>
      <c r="C26" s="8">
        <v>0.02</v>
      </c>
      <c r="D26" s="8">
        <v>0.02</v>
      </c>
      <c r="E26" s="8">
        <v>0.02</v>
      </c>
      <c r="F26" s="8">
        <v>0.02</v>
      </c>
      <c r="G26" s="8">
        <v>0.02</v>
      </c>
      <c r="H26" s="8">
        <v>0.02</v>
      </c>
      <c r="I26" s="8">
        <v>0.02</v>
      </c>
      <c r="J26" s="8">
        <v>0.02</v>
      </c>
      <c r="K26" s="8">
        <v>0.02</v>
      </c>
      <c r="L26" s="8">
        <v>0.02</v>
      </c>
      <c r="M26" s="8">
        <v>0.02</v>
      </c>
      <c r="N26" s="8">
        <v>0.02</v>
      </c>
      <c r="O26" s="8">
        <v>0.02</v>
      </c>
      <c r="P26" s="8">
        <v>0.02</v>
      </c>
      <c r="Q26" s="8">
        <v>0.02</v>
      </c>
      <c r="R26" s="8">
        <v>0.02</v>
      </c>
      <c r="S26" s="8">
        <v>0.02</v>
      </c>
      <c r="T26" s="8">
        <v>0.02</v>
      </c>
      <c r="U26" s="8">
        <v>0.02</v>
      </c>
      <c r="V26" s="8">
        <v>0.01</v>
      </c>
      <c r="W26" s="8">
        <v>0.01</v>
      </c>
      <c r="X26" s="8">
        <v>0.01</v>
      </c>
    </row>
    <row r="27" spans="1:24" ht="14.4" x14ac:dyDescent="0.3">
      <c r="A27" s="27"/>
      <c r="B27" s="6" t="s">
        <v>68</v>
      </c>
      <c r="C27" s="7">
        <v>0.01</v>
      </c>
      <c r="D27" s="7">
        <v>0.01</v>
      </c>
      <c r="E27" s="7">
        <v>0.01</v>
      </c>
      <c r="F27" s="7">
        <v>0.01</v>
      </c>
      <c r="G27" s="7">
        <v>0.02</v>
      </c>
      <c r="H27" s="7">
        <v>0.02</v>
      </c>
      <c r="I27" s="7">
        <v>0.02</v>
      </c>
      <c r="J27" s="7">
        <v>0.02</v>
      </c>
      <c r="K27" s="7">
        <v>0.01</v>
      </c>
      <c r="L27" s="7">
        <v>0.01</v>
      </c>
      <c r="M27" s="7">
        <v>0.01</v>
      </c>
      <c r="N27" s="7">
        <v>0.01</v>
      </c>
      <c r="O27" s="7">
        <v>0.01</v>
      </c>
      <c r="P27" s="7">
        <v>0.01</v>
      </c>
      <c r="Q27" s="7">
        <v>0.01</v>
      </c>
      <c r="R27" s="7">
        <v>0.01</v>
      </c>
      <c r="S27" s="7">
        <v>0.01</v>
      </c>
      <c r="T27" s="7">
        <v>0.01</v>
      </c>
      <c r="U27" s="7">
        <v>0.01</v>
      </c>
      <c r="V27" s="7">
        <v>0.01</v>
      </c>
      <c r="W27" s="7">
        <v>0.01</v>
      </c>
      <c r="X27" s="7">
        <v>0.02</v>
      </c>
    </row>
    <row r="28" spans="1:24" ht="14.4" x14ac:dyDescent="0.3">
      <c r="A28" s="27"/>
      <c r="B28" s="6" t="s">
        <v>69</v>
      </c>
      <c r="C28" s="8">
        <v>0</v>
      </c>
      <c r="D28" s="8">
        <v>0</v>
      </c>
      <c r="E28" s="8">
        <v>0</v>
      </c>
      <c r="F28" s="8">
        <v>0</v>
      </c>
      <c r="G28" s="8">
        <v>0</v>
      </c>
      <c r="H28" s="8">
        <v>0</v>
      </c>
      <c r="I28" s="8">
        <v>0</v>
      </c>
      <c r="J28" s="8">
        <v>0</v>
      </c>
      <c r="K28" s="8">
        <v>0</v>
      </c>
      <c r="L28" s="8">
        <v>0</v>
      </c>
      <c r="M28" s="8">
        <v>0</v>
      </c>
      <c r="N28" s="8">
        <v>0</v>
      </c>
      <c r="O28" s="8">
        <v>0</v>
      </c>
      <c r="P28" s="8">
        <v>0</v>
      </c>
      <c r="Q28" s="8">
        <v>0</v>
      </c>
      <c r="R28" s="8">
        <v>0</v>
      </c>
      <c r="S28" s="8">
        <v>0</v>
      </c>
      <c r="T28" s="8">
        <v>0</v>
      </c>
      <c r="U28" s="8">
        <v>0</v>
      </c>
      <c r="V28" s="8">
        <v>0</v>
      </c>
      <c r="W28" s="8">
        <v>0</v>
      </c>
      <c r="X28" s="8">
        <v>0</v>
      </c>
    </row>
    <row r="29" spans="1:24" ht="14.4" x14ac:dyDescent="0.3">
      <c r="A29" s="27"/>
      <c r="B29" s="6" t="s">
        <v>70</v>
      </c>
      <c r="C29" s="7">
        <v>0.01</v>
      </c>
      <c r="D29" s="7">
        <v>0.01</v>
      </c>
      <c r="E29" s="7">
        <v>0.01</v>
      </c>
      <c r="F29" s="7">
        <v>0.01</v>
      </c>
      <c r="G29" s="7">
        <v>0.01</v>
      </c>
      <c r="H29" s="7">
        <v>0.01</v>
      </c>
      <c r="I29" s="7">
        <v>0.01</v>
      </c>
      <c r="J29" s="7">
        <v>0.01</v>
      </c>
      <c r="K29" s="7">
        <v>0.01</v>
      </c>
      <c r="L29" s="7">
        <v>0.01</v>
      </c>
      <c r="M29" s="7">
        <v>0.01</v>
      </c>
      <c r="N29" s="7">
        <v>0.01</v>
      </c>
      <c r="O29" s="7">
        <v>0.01</v>
      </c>
      <c r="P29" s="7">
        <v>0.01</v>
      </c>
      <c r="Q29" s="7">
        <v>0.01</v>
      </c>
      <c r="R29" s="7">
        <v>0.01</v>
      </c>
      <c r="S29" s="7">
        <v>0.01</v>
      </c>
      <c r="T29" s="7">
        <v>0.01</v>
      </c>
      <c r="U29" s="7">
        <v>0.01</v>
      </c>
      <c r="V29" s="7">
        <v>0.01</v>
      </c>
      <c r="W29" s="7">
        <v>0.01</v>
      </c>
      <c r="X29" s="7">
        <v>0.01</v>
      </c>
    </row>
    <row r="30" spans="1:24" ht="14.4" x14ac:dyDescent="0.3">
      <c r="A30" s="28" t="s">
        <v>71</v>
      </c>
      <c r="B30" s="6" t="s">
        <v>6</v>
      </c>
      <c r="C30" s="8">
        <v>0.06</v>
      </c>
      <c r="D30" s="8">
        <v>0.03</v>
      </c>
      <c r="E30" s="8">
        <v>7.0000000000000007E-2</v>
      </c>
      <c r="F30" s="8">
        <v>0.08</v>
      </c>
      <c r="G30" s="8">
        <v>7.0000000000000007E-2</v>
      </c>
      <c r="H30" s="8">
        <v>7.0000000000000007E-2</v>
      </c>
      <c r="I30" s="8">
        <v>0.09</v>
      </c>
      <c r="J30" s="8">
        <v>0.1</v>
      </c>
      <c r="K30" s="8">
        <v>0.1</v>
      </c>
      <c r="L30" s="8">
        <v>0.09</v>
      </c>
      <c r="M30" s="8">
        <v>0.1</v>
      </c>
      <c r="N30" s="8">
        <v>0.11</v>
      </c>
      <c r="O30" s="8">
        <v>0.12</v>
      </c>
      <c r="P30" s="8">
        <v>0.13</v>
      </c>
      <c r="Q30" s="8">
        <v>0.14000000000000001</v>
      </c>
      <c r="R30" s="8">
        <v>0.15</v>
      </c>
      <c r="S30" s="8">
        <v>0.15</v>
      </c>
      <c r="T30" s="8">
        <v>0.16</v>
      </c>
      <c r="U30" s="8">
        <v>0.17</v>
      </c>
      <c r="V30" s="8">
        <v>0.18</v>
      </c>
      <c r="W30" s="8">
        <v>0.2</v>
      </c>
      <c r="X30" s="8">
        <v>0.21</v>
      </c>
    </row>
    <row r="31" spans="1:24" ht="14.4" x14ac:dyDescent="0.3">
      <c r="A31" s="27"/>
      <c r="B31" s="6" t="s">
        <v>63</v>
      </c>
      <c r="C31" s="7">
        <v>0</v>
      </c>
      <c r="D31" s="7">
        <v>0</v>
      </c>
      <c r="E31" s="7">
        <v>0</v>
      </c>
      <c r="F31" s="7">
        <v>0</v>
      </c>
      <c r="G31" s="7">
        <v>0</v>
      </c>
      <c r="H31" s="7">
        <v>0</v>
      </c>
      <c r="I31" s="7">
        <v>0.03</v>
      </c>
      <c r="J31" s="7">
        <v>0.04</v>
      </c>
      <c r="K31" s="7">
        <v>0.05</v>
      </c>
      <c r="L31" s="7">
        <v>7.0000000000000007E-2</v>
      </c>
      <c r="M31" s="7">
        <v>7.0000000000000007E-2</v>
      </c>
      <c r="N31" s="7">
        <v>0.08</v>
      </c>
      <c r="O31" s="7">
        <v>0.08</v>
      </c>
      <c r="P31" s="7">
        <v>0.09</v>
      </c>
      <c r="Q31" s="7">
        <v>0.11</v>
      </c>
      <c r="R31" s="7">
        <v>0.13</v>
      </c>
      <c r="S31" s="7">
        <v>0.15</v>
      </c>
      <c r="T31" s="7">
        <v>0.16</v>
      </c>
      <c r="U31" s="7">
        <v>0.18</v>
      </c>
      <c r="V31" s="7">
        <v>0.2</v>
      </c>
      <c r="W31" s="7">
        <v>0.25</v>
      </c>
      <c r="X31" s="7">
        <v>0.28000000000000003</v>
      </c>
    </row>
    <row r="32" spans="1:24" ht="14.4" x14ac:dyDescent="0.3">
      <c r="A32" s="27"/>
      <c r="B32" s="6" t="s">
        <v>64</v>
      </c>
      <c r="C32" s="8">
        <v>0.02</v>
      </c>
      <c r="D32" s="8">
        <v>0.02</v>
      </c>
      <c r="E32" s="8">
        <v>0.02</v>
      </c>
      <c r="F32" s="8">
        <v>0.02</v>
      </c>
      <c r="G32" s="8">
        <v>0.02</v>
      </c>
      <c r="H32" s="8">
        <v>0.02</v>
      </c>
      <c r="I32" s="8">
        <v>0.03</v>
      </c>
      <c r="J32" s="8">
        <v>0.04</v>
      </c>
      <c r="K32" s="8">
        <v>0.05</v>
      </c>
      <c r="L32" s="8">
        <v>0.05</v>
      </c>
      <c r="M32" s="8">
        <v>0.06</v>
      </c>
      <c r="N32" s="8">
        <v>0.06</v>
      </c>
      <c r="O32" s="8">
        <v>0.08</v>
      </c>
      <c r="P32" s="8">
        <v>0.11</v>
      </c>
      <c r="Q32" s="8">
        <v>0.13</v>
      </c>
      <c r="R32" s="8">
        <v>0.16</v>
      </c>
      <c r="S32" s="8">
        <v>0.18</v>
      </c>
      <c r="T32" s="8">
        <v>0.19</v>
      </c>
      <c r="U32" s="8">
        <v>0.22</v>
      </c>
      <c r="V32" s="8">
        <v>0.26</v>
      </c>
      <c r="W32" s="8">
        <v>0.28000000000000003</v>
      </c>
      <c r="X32" s="8">
        <v>0.28000000000000003</v>
      </c>
    </row>
    <row r="33" spans="1:24" ht="14.4" x14ac:dyDescent="0.3">
      <c r="A33" s="27"/>
      <c r="B33" s="6" t="s">
        <v>65</v>
      </c>
      <c r="C33" s="7">
        <v>0.37</v>
      </c>
      <c r="D33" s="7">
        <v>0.17</v>
      </c>
      <c r="E33" s="7">
        <v>0.48</v>
      </c>
      <c r="F33" s="7">
        <v>0.51</v>
      </c>
      <c r="G33" s="7">
        <v>0.5</v>
      </c>
      <c r="H33" s="7">
        <v>0.47</v>
      </c>
      <c r="I33" s="7">
        <v>0.52</v>
      </c>
      <c r="J33" s="7">
        <v>0.56000000000000005</v>
      </c>
      <c r="K33" s="7">
        <v>0.53</v>
      </c>
      <c r="L33" s="7">
        <v>0.47</v>
      </c>
      <c r="M33" s="7">
        <v>0.5</v>
      </c>
      <c r="N33" s="7">
        <v>0.53</v>
      </c>
      <c r="O33" s="7">
        <v>0.55000000000000004</v>
      </c>
      <c r="P33" s="7">
        <v>0.56000000000000005</v>
      </c>
      <c r="Q33" s="7">
        <v>0.56999999999999995</v>
      </c>
      <c r="R33" s="7">
        <v>0.56999999999999995</v>
      </c>
      <c r="S33" s="7">
        <v>0.56999999999999995</v>
      </c>
      <c r="T33" s="7">
        <v>0.57999999999999996</v>
      </c>
      <c r="U33" s="7">
        <v>0.56000000000000005</v>
      </c>
      <c r="V33" s="7">
        <v>0.6</v>
      </c>
      <c r="W33" s="7">
        <v>0.59</v>
      </c>
      <c r="X33" s="7">
        <v>0.61</v>
      </c>
    </row>
    <row r="34" spans="1:24" ht="14.4" x14ac:dyDescent="0.3">
      <c r="A34" s="27"/>
      <c r="B34" s="6" t="s">
        <v>66</v>
      </c>
      <c r="C34" s="8">
        <v>0.11</v>
      </c>
      <c r="D34" s="8">
        <v>0.05</v>
      </c>
      <c r="E34" s="8">
        <v>0.14000000000000001</v>
      </c>
      <c r="F34" s="8">
        <v>0.15</v>
      </c>
      <c r="G34" s="8">
        <v>0.15</v>
      </c>
      <c r="H34" s="8">
        <v>0.14000000000000001</v>
      </c>
      <c r="I34" s="8">
        <v>0.17</v>
      </c>
      <c r="J34" s="8">
        <v>0.19</v>
      </c>
      <c r="K34" s="8">
        <v>0.19</v>
      </c>
      <c r="L34" s="8">
        <v>0.18</v>
      </c>
      <c r="M34" s="8">
        <v>0.19</v>
      </c>
      <c r="N34" s="8">
        <v>0.2</v>
      </c>
      <c r="O34" s="8">
        <v>0.22</v>
      </c>
      <c r="P34" s="8">
        <v>0.24</v>
      </c>
      <c r="Q34" s="8">
        <v>0.26</v>
      </c>
      <c r="R34" s="8">
        <v>0.28000000000000003</v>
      </c>
      <c r="S34" s="8">
        <v>0.3</v>
      </c>
      <c r="T34" s="8">
        <v>0.31</v>
      </c>
      <c r="U34" s="8">
        <v>0.32</v>
      </c>
      <c r="V34" s="8">
        <v>0.36</v>
      </c>
      <c r="W34" s="8">
        <v>0.39</v>
      </c>
      <c r="X34" s="8">
        <v>0.41</v>
      </c>
    </row>
    <row r="35" spans="1:24" ht="14.4" x14ac:dyDescent="0.3">
      <c r="A35" s="27"/>
      <c r="B35" s="6" t="s">
        <v>67</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row>
    <row r="36" spans="1:24" ht="14.4" x14ac:dyDescent="0.3">
      <c r="A36" s="27"/>
      <c r="B36" s="6" t="s">
        <v>68</v>
      </c>
      <c r="C36" s="8">
        <v>0</v>
      </c>
      <c r="D36" s="8">
        <v>0</v>
      </c>
      <c r="E36" s="8">
        <v>0</v>
      </c>
      <c r="F36" s="8">
        <v>0</v>
      </c>
      <c r="G36" s="8">
        <v>0</v>
      </c>
      <c r="H36" s="8">
        <v>0</v>
      </c>
      <c r="I36" s="8">
        <v>0</v>
      </c>
      <c r="J36" s="8">
        <v>0</v>
      </c>
      <c r="K36" s="8">
        <v>0.01</v>
      </c>
      <c r="L36" s="8">
        <v>0.01</v>
      </c>
      <c r="M36" s="8">
        <v>0.03</v>
      </c>
      <c r="N36" s="8">
        <v>0.04</v>
      </c>
      <c r="O36" s="8">
        <v>0.03</v>
      </c>
      <c r="P36" s="8">
        <v>0.03</v>
      </c>
      <c r="Q36" s="8">
        <v>0.02</v>
      </c>
      <c r="R36" s="8">
        <v>0.02</v>
      </c>
      <c r="S36" s="8">
        <v>0.02</v>
      </c>
      <c r="T36" s="8">
        <v>0.02</v>
      </c>
      <c r="U36" s="8">
        <v>0.01</v>
      </c>
      <c r="V36" s="8">
        <v>0</v>
      </c>
      <c r="W36" s="8">
        <v>0</v>
      </c>
      <c r="X36" s="8">
        <v>0</v>
      </c>
    </row>
    <row r="37" spans="1:24" ht="14.4" x14ac:dyDescent="0.3">
      <c r="A37" s="27"/>
      <c r="B37" s="6" t="s">
        <v>69</v>
      </c>
      <c r="C37" s="7">
        <v>0</v>
      </c>
      <c r="D37" s="7">
        <v>0</v>
      </c>
      <c r="E37" s="7">
        <v>0</v>
      </c>
      <c r="F37" s="7">
        <v>0</v>
      </c>
      <c r="G37" s="7">
        <v>0</v>
      </c>
      <c r="H37" s="7">
        <v>0</v>
      </c>
      <c r="I37" s="7">
        <v>0</v>
      </c>
      <c r="J37" s="7">
        <v>0</v>
      </c>
      <c r="K37" s="7">
        <v>0</v>
      </c>
      <c r="L37" s="7">
        <v>0</v>
      </c>
      <c r="M37" s="7">
        <v>0</v>
      </c>
      <c r="N37" s="7">
        <v>0</v>
      </c>
      <c r="O37" s="7">
        <v>0</v>
      </c>
      <c r="P37" s="7">
        <v>0</v>
      </c>
      <c r="Q37" s="7">
        <v>0</v>
      </c>
      <c r="R37" s="7">
        <v>0</v>
      </c>
      <c r="S37" s="7">
        <v>0</v>
      </c>
      <c r="T37" s="7">
        <v>0</v>
      </c>
      <c r="U37" s="7">
        <v>0</v>
      </c>
      <c r="V37" s="7">
        <v>0</v>
      </c>
      <c r="W37" s="7">
        <v>0</v>
      </c>
      <c r="X37" s="7">
        <v>0</v>
      </c>
    </row>
    <row r="38" spans="1:24" ht="14.4" x14ac:dyDescent="0.3">
      <c r="A38" s="27"/>
      <c r="B38" s="6" t="s">
        <v>70</v>
      </c>
      <c r="C38" s="8">
        <v>0</v>
      </c>
      <c r="D38" s="8">
        <v>0</v>
      </c>
      <c r="E38" s="8">
        <v>0</v>
      </c>
      <c r="F38" s="8">
        <v>0</v>
      </c>
      <c r="G38" s="8">
        <v>0</v>
      </c>
      <c r="H38" s="8">
        <v>0</v>
      </c>
      <c r="I38" s="8">
        <v>0</v>
      </c>
      <c r="J38" s="8">
        <v>0</v>
      </c>
      <c r="K38" s="8">
        <v>0</v>
      </c>
      <c r="L38" s="8">
        <v>0</v>
      </c>
      <c r="M38" s="8">
        <v>0.01</v>
      </c>
      <c r="N38" s="8">
        <v>0.01</v>
      </c>
      <c r="O38" s="8">
        <v>0.01</v>
      </c>
      <c r="P38" s="8">
        <v>0.01</v>
      </c>
      <c r="Q38" s="8">
        <v>0.01</v>
      </c>
      <c r="R38" s="8">
        <v>0.01</v>
      </c>
      <c r="S38" s="8">
        <v>0.01</v>
      </c>
      <c r="T38" s="8">
        <v>0.01</v>
      </c>
      <c r="U38" s="8">
        <v>0</v>
      </c>
      <c r="V38" s="8">
        <v>0</v>
      </c>
      <c r="W38" s="8">
        <v>0</v>
      </c>
      <c r="X38" s="8">
        <v>0</v>
      </c>
    </row>
    <row r="39" spans="1:24" ht="14.4" x14ac:dyDescent="0.3">
      <c r="A39" s="28" t="s">
        <v>11</v>
      </c>
      <c r="B39" s="6" t="s">
        <v>6</v>
      </c>
      <c r="C39" s="7">
        <v>0.08</v>
      </c>
      <c r="D39" s="7">
        <v>0.08</v>
      </c>
      <c r="E39" s="7">
        <v>0.08</v>
      </c>
      <c r="F39" s="7">
        <v>7.0000000000000007E-2</v>
      </c>
      <c r="G39" s="7">
        <v>7.0000000000000007E-2</v>
      </c>
      <c r="H39" s="7">
        <v>0.08</v>
      </c>
      <c r="I39" s="7">
        <v>0.08</v>
      </c>
      <c r="J39" s="7">
        <v>0.09</v>
      </c>
      <c r="K39" s="7">
        <v>0.09</v>
      </c>
      <c r="L39" s="7">
        <v>0.08</v>
      </c>
      <c r="M39" s="7">
        <v>0.08</v>
      </c>
      <c r="N39" s="7">
        <v>0.08</v>
      </c>
      <c r="O39" s="7">
        <v>0.08</v>
      </c>
      <c r="P39" s="7">
        <v>0.1</v>
      </c>
      <c r="Q39" s="7">
        <v>0.08</v>
      </c>
      <c r="R39" s="7">
        <v>0.08</v>
      </c>
      <c r="S39" s="7">
        <v>0.08</v>
      </c>
      <c r="T39" s="7">
        <v>0.09</v>
      </c>
      <c r="U39" s="7">
        <v>0.09</v>
      </c>
      <c r="V39" s="7">
        <v>0.09</v>
      </c>
      <c r="W39" s="7">
        <v>0.09</v>
      </c>
      <c r="X39" s="7">
        <v>0.1</v>
      </c>
    </row>
    <row r="40" spans="1:24" ht="14.4" x14ac:dyDescent="0.3">
      <c r="A40" s="27"/>
      <c r="B40" s="6" t="s">
        <v>63</v>
      </c>
      <c r="C40" s="8">
        <v>0.01</v>
      </c>
      <c r="D40" s="8">
        <v>0.01</v>
      </c>
      <c r="E40" s="8">
        <v>0.01</v>
      </c>
      <c r="F40" s="8">
        <v>0.01</v>
      </c>
      <c r="G40" s="8">
        <v>0.01</v>
      </c>
      <c r="H40" s="8">
        <v>0.01</v>
      </c>
      <c r="I40" s="8">
        <v>0.02</v>
      </c>
      <c r="J40" s="8">
        <v>0.02</v>
      </c>
      <c r="K40" s="8">
        <v>0.02</v>
      </c>
      <c r="L40" s="8">
        <v>0.02</v>
      </c>
      <c r="M40" s="8">
        <v>0.03</v>
      </c>
      <c r="N40" s="8">
        <v>0.03</v>
      </c>
      <c r="O40" s="8">
        <v>0.03</v>
      </c>
      <c r="P40" s="8">
        <v>0.04</v>
      </c>
      <c r="Q40" s="8">
        <v>0.04</v>
      </c>
      <c r="R40" s="8">
        <v>0.04</v>
      </c>
      <c r="S40" s="8">
        <v>0.04</v>
      </c>
      <c r="T40" s="8">
        <v>0.04</v>
      </c>
      <c r="U40" s="8">
        <v>0.05</v>
      </c>
      <c r="V40" s="8">
        <v>0.05</v>
      </c>
      <c r="W40" s="8">
        <v>0.05</v>
      </c>
      <c r="X40" s="8">
        <v>0.05</v>
      </c>
    </row>
    <row r="41" spans="1:24" ht="14.4" x14ac:dyDescent="0.3">
      <c r="A41" s="27"/>
      <c r="B41" s="6" t="s">
        <v>64</v>
      </c>
      <c r="C41" s="7">
        <v>0.04</v>
      </c>
      <c r="D41" s="7">
        <v>0.04</v>
      </c>
      <c r="E41" s="7">
        <v>0.04</v>
      </c>
      <c r="F41" s="7">
        <v>0.04</v>
      </c>
      <c r="G41" s="7">
        <v>0.04</v>
      </c>
      <c r="H41" s="7">
        <v>0.04</v>
      </c>
      <c r="I41" s="7">
        <v>0.04</v>
      </c>
      <c r="J41" s="7">
        <v>0.04</v>
      </c>
      <c r="K41" s="7">
        <v>0.04</v>
      </c>
      <c r="L41" s="7">
        <v>0.04</v>
      </c>
      <c r="M41" s="7">
        <v>0.05</v>
      </c>
      <c r="N41" s="7">
        <v>0.05</v>
      </c>
      <c r="O41" s="7">
        <v>0.05</v>
      </c>
      <c r="P41" s="7">
        <v>0.05</v>
      </c>
      <c r="Q41" s="7">
        <v>0.05</v>
      </c>
      <c r="R41" s="7">
        <v>0.05</v>
      </c>
      <c r="S41" s="7">
        <v>0.06</v>
      </c>
      <c r="T41" s="7">
        <v>0.05</v>
      </c>
      <c r="U41" s="7">
        <v>0.06</v>
      </c>
      <c r="V41" s="7">
        <v>0.05</v>
      </c>
      <c r="W41" s="7">
        <v>0.05</v>
      </c>
      <c r="X41" s="7">
        <v>0.05</v>
      </c>
    </row>
    <row r="42" spans="1:24" ht="14.4" x14ac:dyDescent="0.3">
      <c r="A42" s="27"/>
      <c r="B42" s="6" t="s">
        <v>65</v>
      </c>
      <c r="C42" s="8">
        <v>0.53</v>
      </c>
      <c r="D42" s="8">
        <v>0.53</v>
      </c>
      <c r="E42" s="8">
        <v>0.49</v>
      </c>
      <c r="F42" s="8">
        <v>0.45</v>
      </c>
      <c r="G42" s="8">
        <v>0.46</v>
      </c>
      <c r="H42" s="8">
        <v>0.49</v>
      </c>
      <c r="I42" s="8">
        <v>0.49</v>
      </c>
      <c r="J42" s="8">
        <v>0.52</v>
      </c>
      <c r="K42" s="8">
        <v>0.51</v>
      </c>
      <c r="L42" s="8">
        <v>0.5</v>
      </c>
      <c r="M42" s="8">
        <v>0.45</v>
      </c>
      <c r="N42" s="8">
        <v>0.45</v>
      </c>
      <c r="O42" s="8">
        <v>0.43</v>
      </c>
      <c r="P42" s="8">
        <v>0.55000000000000004</v>
      </c>
      <c r="Q42" s="8">
        <v>0.41</v>
      </c>
      <c r="R42" s="8">
        <v>0.43</v>
      </c>
      <c r="S42" s="8">
        <v>0.42</v>
      </c>
      <c r="T42" s="8">
        <v>0.46</v>
      </c>
      <c r="U42" s="8">
        <v>0.46</v>
      </c>
      <c r="V42" s="8">
        <v>0.48</v>
      </c>
      <c r="W42" s="8">
        <v>0.45</v>
      </c>
      <c r="X42" s="8">
        <v>0.56000000000000005</v>
      </c>
    </row>
    <row r="43" spans="1:24" ht="14.4" x14ac:dyDescent="0.3">
      <c r="A43" s="27"/>
      <c r="B43" s="6" t="s">
        <v>66</v>
      </c>
      <c r="C43" s="7">
        <v>0.16</v>
      </c>
      <c r="D43" s="7">
        <v>0.16</v>
      </c>
      <c r="E43" s="7">
        <v>0.15</v>
      </c>
      <c r="F43" s="7">
        <v>0.14000000000000001</v>
      </c>
      <c r="G43" s="7">
        <v>0.14000000000000001</v>
      </c>
      <c r="H43" s="7">
        <v>0.16</v>
      </c>
      <c r="I43" s="7">
        <v>0.16</v>
      </c>
      <c r="J43" s="7">
        <v>0.17</v>
      </c>
      <c r="K43" s="7">
        <v>0.17</v>
      </c>
      <c r="L43" s="7">
        <v>0.16</v>
      </c>
      <c r="M43" s="7">
        <v>0.15</v>
      </c>
      <c r="N43" s="7">
        <v>0.16</v>
      </c>
      <c r="O43" s="7">
        <v>0.15</v>
      </c>
      <c r="P43" s="7">
        <v>0.19</v>
      </c>
      <c r="Q43" s="7">
        <v>0.15</v>
      </c>
      <c r="R43" s="7">
        <v>0.16</v>
      </c>
      <c r="S43" s="7">
        <v>0.16</v>
      </c>
      <c r="T43" s="7">
        <v>0.17</v>
      </c>
      <c r="U43" s="7">
        <v>0.17</v>
      </c>
      <c r="V43" s="7">
        <v>0.17</v>
      </c>
      <c r="W43" s="7">
        <v>0.16</v>
      </c>
      <c r="X43" s="7">
        <v>0.2</v>
      </c>
    </row>
    <row r="44" spans="1:24" ht="14.4" x14ac:dyDescent="0.3">
      <c r="A44" s="27"/>
      <c r="B44" s="6" t="s">
        <v>67</v>
      </c>
      <c r="C44" s="8">
        <v>0</v>
      </c>
      <c r="D44" s="8">
        <v>0</v>
      </c>
      <c r="E44" s="8">
        <v>0</v>
      </c>
      <c r="F44" s="8">
        <v>0</v>
      </c>
      <c r="G44" s="8">
        <v>0</v>
      </c>
      <c r="H44" s="8">
        <v>0</v>
      </c>
      <c r="I44" s="8">
        <v>0</v>
      </c>
      <c r="J44" s="8">
        <v>0</v>
      </c>
      <c r="K44" s="8">
        <v>0</v>
      </c>
      <c r="L44" s="8">
        <v>0</v>
      </c>
      <c r="M44" s="8">
        <v>0</v>
      </c>
      <c r="N44" s="8">
        <v>0</v>
      </c>
      <c r="O44" s="8">
        <v>0</v>
      </c>
      <c r="P44" s="8">
        <v>0</v>
      </c>
      <c r="Q44" s="8">
        <v>0</v>
      </c>
      <c r="R44" s="8">
        <v>0</v>
      </c>
      <c r="S44" s="8">
        <v>0</v>
      </c>
      <c r="T44" s="8">
        <v>0</v>
      </c>
      <c r="U44" s="8">
        <v>0</v>
      </c>
      <c r="V44" s="8">
        <v>0</v>
      </c>
      <c r="W44" s="8">
        <v>0</v>
      </c>
      <c r="X44" s="8">
        <v>0</v>
      </c>
    </row>
    <row r="45" spans="1:24" ht="14.4" x14ac:dyDescent="0.3">
      <c r="A45" s="27"/>
      <c r="B45" s="6" t="s">
        <v>68</v>
      </c>
      <c r="C45" s="7">
        <v>0</v>
      </c>
      <c r="D45" s="7">
        <v>0</v>
      </c>
      <c r="E45" s="7">
        <v>0</v>
      </c>
      <c r="F45" s="7">
        <v>0</v>
      </c>
      <c r="G45" s="7">
        <v>0</v>
      </c>
      <c r="H45" s="7">
        <v>0</v>
      </c>
      <c r="I45" s="7">
        <v>0</v>
      </c>
      <c r="J45" s="7">
        <v>0</v>
      </c>
      <c r="K45" s="7">
        <v>0</v>
      </c>
      <c r="L45" s="7">
        <v>0</v>
      </c>
      <c r="M45" s="7">
        <v>0</v>
      </c>
      <c r="N45" s="7">
        <v>0.01</v>
      </c>
      <c r="O45" s="7">
        <v>0.01</v>
      </c>
      <c r="P45" s="7">
        <v>0.01</v>
      </c>
      <c r="Q45" s="7">
        <v>0.01</v>
      </c>
      <c r="R45" s="7">
        <v>0.01</v>
      </c>
      <c r="S45" s="7">
        <v>0.01</v>
      </c>
      <c r="T45" s="7">
        <v>0.01</v>
      </c>
      <c r="U45" s="7">
        <v>0.01</v>
      </c>
      <c r="V45" s="7">
        <v>0.01</v>
      </c>
      <c r="W45" s="7">
        <v>0.01</v>
      </c>
      <c r="X45" s="7">
        <v>0.01</v>
      </c>
    </row>
    <row r="46" spans="1:24" ht="14.4" x14ac:dyDescent="0.3">
      <c r="A46" s="27"/>
      <c r="B46" s="6" t="s">
        <v>69</v>
      </c>
      <c r="C46" s="8">
        <v>0</v>
      </c>
      <c r="D46" s="8">
        <v>0</v>
      </c>
      <c r="E46" s="8">
        <v>0</v>
      </c>
      <c r="F46" s="8">
        <v>0</v>
      </c>
      <c r="G46" s="8">
        <v>0</v>
      </c>
      <c r="H46" s="8">
        <v>0</v>
      </c>
      <c r="I46" s="8">
        <v>0</v>
      </c>
      <c r="J46" s="8">
        <v>0</v>
      </c>
      <c r="K46" s="8">
        <v>0</v>
      </c>
      <c r="L46" s="8">
        <v>0</v>
      </c>
      <c r="M46" s="8">
        <v>0</v>
      </c>
      <c r="N46" s="8">
        <v>0</v>
      </c>
      <c r="O46" s="8">
        <v>0</v>
      </c>
      <c r="P46" s="8">
        <v>0</v>
      </c>
      <c r="Q46" s="8">
        <v>0</v>
      </c>
      <c r="R46" s="8">
        <v>0</v>
      </c>
      <c r="S46" s="8">
        <v>0</v>
      </c>
      <c r="T46" s="8">
        <v>0</v>
      </c>
      <c r="U46" s="8">
        <v>0</v>
      </c>
      <c r="V46" s="8">
        <v>0</v>
      </c>
      <c r="W46" s="8">
        <v>0</v>
      </c>
      <c r="X46" s="8">
        <v>0</v>
      </c>
    </row>
    <row r="47" spans="1:24" ht="14.4" x14ac:dyDescent="0.3">
      <c r="A47" s="27"/>
      <c r="B47" s="6" t="s">
        <v>70</v>
      </c>
      <c r="C47" s="7">
        <v>0</v>
      </c>
      <c r="D47" s="7">
        <v>0</v>
      </c>
      <c r="E47" s="7">
        <v>0</v>
      </c>
      <c r="F47" s="7">
        <v>0</v>
      </c>
      <c r="G47" s="7">
        <v>0</v>
      </c>
      <c r="H47" s="7">
        <v>0</v>
      </c>
      <c r="I47" s="7">
        <v>0</v>
      </c>
      <c r="J47" s="7">
        <v>0</v>
      </c>
      <c r="K47" s="7">
        <v>0</v>
      </c>
      <c r="L47" s="7">
        <v>0</v>
      </c>
      <c r="M47" s="7">
        <v>0</v>
      </c>
      <c r="N47" s="7">
        <v>0</v>
      </c>
      <c r="O47" s="7">
        <v>0</v>
      </c>
      <c r="P47" s="7">
        <v>0</v>
      </c>
      <c r="Q47" s="7">
        <v>0</v>
      </c>
      <c r="R47" s="7">
        <v>0</v>
      </c>
      <c r="S47" s="7">
        <v>0</v>
      </c>
      <c r="T47" s="7">
        <v>0</v>
      </c>
      <c r="U47" s="7">
        <v>0</v>
      </c>
      <c r="V47" s="7">
        <v>0</v>
      </c>
      <c r="W47" s="7">
        <v>0</v>
      </c>
      <c r="X47" s="7">
        <v>0</v>
      </c>
    </row>
    <row r="48" spans="1:24" ht="14.4" x14ac:dyDescent="0.3">
      <c r="A48" s="28" t="s">
        <v>13</v>
      </c>
      <c r="B48" s="6" t="s">
        <v>6</v>
      </c>
      <c r="C48" s="8">
        <v>0.04</v>
      </c>
      <c r="D48" s="8">
        <v>0.05</v>
      </c>
      <c r="E48" s="8">
        <v>0.04</v>
      </c>
      <c r="F48" s="8">
        <v>0.06</v>
      </c>
      <c r="G48" s="8">
        <v>0.04</v>
      </c>
      <c r="H48" s="8">
        <v>0.03</v>
      </c>
      <c r="I48" s="8">
        <v>0.03</v>
      </c>
      <c r="J48" s="8">
        <v>0.03</v>
      </c>
      <c r="K48" s="8">
        <v>0.04</v>
      </c>
      <c r="L48" s="8">
        <v>0.08</v>
      </c>
      <c r="M48" s="8">
        <v>0.09</v>
      </c>
      <c r="N48" s="8">
        <v>0.08</v>
      </c>
      <c r="O48" s="8">
        <v>0.09</v>
      </c>
      <c r="P48" s="8">
        <v>0.09</v>
      </c>
      <c r="Q48" s="8">
        <v>0.1</v>
      </c>
      <c r="R48" s="8">
        <v>0.12</v>
      </c>
      <c r="S48" s="8">
        <v>0.12</v>
      </c>
      <c r="T48" s="8">
        <v>0.12</v>
      </c>
      <c r="U48" s="8">
        <v>0.1</v>
      </c>
      <c r="V48" s="8">
        <v>0.1</v>
      </c>
      <c r="W48" s="8">
        <v>0.1</v>
      </c>
      <c r="X48" s="8">
        <v>0.09</v>
      </c>
    </row>
    <row r="49" spans="1:24" ht="14.4" x14ac:dyDescent="0.3">
      <c r="A49" s="27"/>
      <c r="B49" s="6" t="s">
        <v>63</v>
      </c>
      <c r="C49" s="7">
        <v>0</v>
      </c>
      <c r="D49" s="7">
        <v>0</v>
      </c>
      <c r="E49" s="7">
        <v>0</v>
      </c>
      <c r="F49" s="7">
        <v>0</v>
      </c>
      <c r="G49" s="7">
        <v>0</v>
      </c>
      <c r="H49" s="7">
        <v>0</v>
      </c>
      <c r="I49" s="7">
        <v>0</v>
      </c>
      <c r="J49" s="7">
        <v>0</v>
      </c>
      <c r="K49" s="7">
        <v>0</v>
      </c>
      <c r="L49" s="7">
        <v>0</v>
      </c>
      <c r="M49" s="7">
        <v>0</v>
      </c>
      <c r="N49" s="7">
        <v>0.01</v>
      </c>
      <c r="O49" s="7">
        <v>0.01</v>
      </c>
      <c r="P49" s="7">
        <v>0.04</v>
      </c>
      <c r="Q49" s="7">
        <v>0.05</v>
      </c>
      <c r="R49" s="7">
        <v>0.06</v>
      </c>
      <c r="S49" s="7">
        <v>7.0000000000000007E-2</v>
      </c>
      <c r="T49" s="7">
        <v>0.08</v>
      </c>
      <c r="U49" s="7">
        <v>0.09</v>
      </c>
      <c r="V49" s="7">
        <v>0.09</v>
      </c>
      <c r="W49" s="7">
        <v>0.09</v>
      </c>
      <c r="X49" s="7">
        <v>0.09</v>
      </c>
    </row>
    <row r="50" spans="1:24" ht="14.4" x14ac:dyDescent="0.3">
      <c r="A50" s="27"/>
      <c r="B50" s="6" t="s">
        <v>64</v>
      </c>
      <c r="C50" s="8">
        <v>0.01</v>
      </c>
      <c r="D50" s="8">
        <v>0.02</v>
      </c>
      <c r="E50" s="8">
        <v>0.02</v>
      </c>
      <c r="F50" s="8">
        <v>0.05</v>
      </c>
      <c r="G50" s="8">
        <v>0.03</v>
      </c>
      <c r="H50" s="8">
        <v>0.02</v>
      </c>
      <c r="I50" s="8">
        <v>0.02</v>
      </c>
      <c r="J50" s="8">
        <v>0.02</v>
      </c>
      <c r="K50" s="8">
        <v>0.03</v>
      </c>
      <c r="L50" s="8">
        <v>0.04</v>
      </c>
      <c r="M50" s="8">
        <v>0.03</v>
      </c>
      <c r="N50" s="8">
        <v>0.03</v>
      </c>
      <c r="O50" s="8">
        <v>0.03</v>
      </c>
      <c r="P50" s="8">
        <v>0.04</v>
      </c>
      <c r="Q50" s="8">
        <v>0.05</v>
      </c>
      <c r="R50" s="8">
        <v>7.0000000000000007E-2</v>
      </c>
      <c r="S50" s="8">
        <v>7.0000000000000007E-2</v>
      </c>
      <c r="T50" s="8">
        <v>0.06</v>
      </c>
      <c r="U50" s="8">
        <v>0.05</v>
      </c>
      <c r="V50" s="8">
        <v>0.05</v>
      </c>
      <c r="W50" s="8">
        <v>0.06</v>
      </c>
      <c r="X50" s="8">
        <v>0.06</v>
      </c>
    </row>
    <row r="51" spans="1:24" ht="14.4" x14ac:dyDescent="0.3">
      <c r="A51" s="27"/>
      <c r="B51" s="6" t="s">
        <v>65</v>
      </c>
      <c r="C51" s="7">
        <v>0.18</v>
      </c>
      <c r="D51" s="7">
        <v>0.19</v>
      </c>
      <c r="E51" s="7">
        <v>0.2</v>
      </c>
      <c r="F51" s="7">
        <v>0.24</v>
      </c>
      <c r="G51" s="7">
        <v>0.19</v>
      </c>
      <c r="H51" s="7">
        <v>0.13</v>
      </c>
      <c r="I51" s="7">
        <v>0.12</v>
      </c>
      <c r="J51" s="7">
        <v>0.14000000000000001</v>
      </c>
      <c r="K51" s="7">
        <v>0.18</v>
      </c>
      <c r="L51" s="7">
        <v>0.47</v>
      </c>
      <c r="M51" s="7">
        <v>0.54</v>
      </c>
      <c r="N51" s="7">
        <v>0.51</v>
      </c>
      <c r="O51" s="7">
        <v>0.53</v>
      </c>
      <c r="P51" s="7">
        <v>0.5</v>
      </c>
      <c r="Q51" s="7">
        <v>0.5</v>
      </c>
      <c r="R51" s="7">
        <v>0.5</v>
      </c>
      <c r="S51" s="7">
        <v>0.5</v>
      </c>
      <c r="T51" s="7">
        <v>0.49</v>
      </c>
      <c r="U51" s="7">
        <v>0.41</v>
      </c>
      <c r="V51" s="7">
        <v>0.41</v>
      </c>
      <c r="W51" s="7">
        <v>0.45</v>
      </c>
      <c r="X51" s="7">
        <v>0.38</v>
      </c>
    </row>
    <row r="52" spans="1:24" ht="14.4" x14ac:dyDescent="0.3">
      <c r="A52" s="27"/>
      <c r="B52" s="6" t="s">
        <v>66</v>
      </c>
      <c r="C52" s="8">
        <v>0.06</v>
      </c>
      <c r="D52" s="8">
        <v>0.06</v>
      </c>
      <c r="E52" s="8">
        <v>0.06</v>
      </c>
      <c r="F52" s="8">
        <v>0.09</v>
      </c>
      <c r="G52" s="8">
        <v>0.06</v>
      </c>
      <c r="H52" s="8">
        <v>0.04</v>
      </c>
      <c r="I52" s="8">
        <v>0.04</v>
      </c>
      <c r="J52" s="8">
        <v>0.05</v>
      </c>
      <c r="K52" s="8">
        <v>0.06</v>
      </c>
      <c r="L52" s="8">
        <v>0.14000000000000001</v>
      </c>
      <c r="M52" s="8">
        <v>0.16</v>
      </c>
      <c r="N52" s="8">
        <v>0.16</v>
      </c>
      <c r="O52" s="8">
        <v>0.16</v>
      </c>
      <c r="P52" s="8">
        <v>0.17</v>
      </c>
      <c r="Q52" s="8">
        <v>0.18</v>
      </c>
      <c r="R52" s="8">
        <v>0.19</v>
      </c>
      <c r="S52" s="8">
        <v>0.19</v>
      </c>
      <c r="T52" s="8">
        <v>0.19</v>
      </c>
      <c r="U52" s="8">
        <v>0.17</v>
      </c>
      <c r="V52" s="8">
        <v>0.17</v>
      </c>
      <c r="W52" s="8">
        <v>0.19</v>
      </c>
      <c r="X52" s="8">
        <v>0.16</v>
      </c>
    </row>
    <row r="53" spans="1:24" ht="14.4" x14ac:dyDescent="0.3">
      <c r="A53" s="27"/>
      <c r="B53" s="6" t="s">
        <v>67</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row>
    <row r="54" spans="1:24" ht="14.4" x14ac:dyDescent="0.3">
      <c r="A54" s="27"/>
      <c r="B54" s="6" t="s">
        <v>68</v>
      </c>
      <c r="C54" s="8">
        <v>0.05</v>
      </c>
      <c r="D54" s="8">
        <v>0.09</v>
      </c>
      <c r="E54" s="8">
        <v>0.06</v>
      </c>
      <c r="F54" s="8">
        <v>7.0000000000000007E-2</v>
      </c>
      <c r="G54" s="8">
        <v>0.06</v>
      </c>
      <c r="H54" s="8">
        <v>0.05</v>
      </c>
      <c r="I54" s="8">
        <v>0.02</v>
      </c>
      <c r="J54" s="8">
        <v>0.02</v>
      </c>
      <c r="K54" s="8">
        <v>0.02</v>
      </c>
      <c r="L54" s="8">
        <v>0.02</v>
      </c>
      <c r="M54" s="8">
        <v>0.02</v>
      </c>
      <c r="N54" s="8">
        <v>0.02</v>
      </c>
      <c r="O54" s="8">
        <v>0.02</v>
      </c>
      <c r="P54" s="8">
        <v>0.02</v>
      </c>
      <c r="Q54" s="8">
        <v>0.05</v>
      </c>
      <c r="R54" s="8">
        <v>0.09</v>
      </c>
      <c r="S54" s="8">
        <v>0.1</v>
      </c>
      <c r="T54" s="8">
        <v>0.1</v>
      </c>
      <c r="U54" s="8">
        <v>0.08</v>
      </c>
      <c r="V54" s="8">
        <v>0.05</v>
      </c>
      <c r="W54" s="8">
        <v>0.05</v>
      </c>
      <c r="X54" s="8">
        <v>0.05</v>
      </c>
    </row>
    <row r="55" spans="1:24" ht="14.4" x14ac:dyDescent="0.3">
      <c r="A55" s="27"/>
      <c r="B55" s="6" t="s">
        <v>69</v>
      </c>
      <c r="C55" s="7">
        <v>0</v>
      </c>
      <c r="D55" s="7">
        <v>0</v>
      </c>
      <c r="E55" s="7">
        <v>0</v>
      </c>
      <c r="F55" s="7">
        <v>0</v>
      </c>
      <c r="G55" s="7">
        <v>0</v>
      </c>
      <c r="H55" s="7">
        <v>0</v>
      </c>
      <c r="I55" s="7">
        <v>0</v>
      </c>
      <c r="J55" s="7">
        <v>0</v>
      </c>
      <c r="K55" s="7">
        <v>0</v>
      </c>
      <c r="L55" s="7">
        <v>0</v>
      </c>
      <c r="M55" s="7">
        <v>0</v>
      </c>
      <c r="N55" s="7">
        <v>0</v>
      </c>
      <c r="O55" s="7">
        <v>0</v>
      </c>
      <c r="P55" s="7">
        <v>0</v>
      </c>
      <c r="Q55" s="7">
        <v>0</v>
      </c>
      <c r="R55" s="7">
        <v>0</v>
      </c>
      <c r="S55" s="7">
        <v>0</v>
      </c>
      <c r="T55" s="7">
        <v>0</v>
      </c>
      <c r="U55" s="7">
        <v>0</v>
      </c>
      <c r="V55" s="7">
        <v>0</v>
      </c>
      <c r="W55" s="7">
        <v>0</v>
      </c>
      <c r="X55" s="7">
        <v>0</v>
      </c>
    </row>
    <row r="56" spans="1:24" ht="14.4" x14ac:dyDescent="0.3">
      <c r="A56" s="27"/>
      <c r="B56" s="6" t="s">
        <v>70</v>
      </c>
      <c r="C56" s="8">
        <v>0.02</v>
      </c>
      <c r="D56" s="8">
        <v>0.03</v>
      </c>
      <c r="E56" s="8">
        <v>0.02</v>
      </c>
      <c r="F56" s="8">
        <v>0.03</v>
      </c>
      <c r="G56" s="8">
        <v>0.02</v>
      </c>
      <c r="H56" s="8">
        <v>0.02</v>
      </c>
      <c r="I56" s="8">
        <v>0.01</v>
      </c>
      <c r="J56" s="8">
        <v>0.01</v>
      </c>
      <c r="K56" s="8">
        <v>0.01</v>
      </c>
      <c r="L56" s="8">
        <v>0.01</v>
      </c>
      <c r="M56" s="8">
        <v>0.01</v>
      </c>
      <c r="N56" s="8">
        <v>0.01</v>
      </c>
      <c r="O56" s="8">
        <v>0.01</v>
      </c>
      <c r="P56" s="8">
        <v>0.01</v>
      </c>
      <c r="Q56" s="8">
        <v>0.02</v>
      </c>
      <c r="R56" s="8">
        <v>0.03</v>
      </c>
      <c r="S56" s="8">
        <v>0.04</v>
      </c>
      <c r="T56" s="8">
        <v>0.04</v>
      </c>
      <c r="U56" s="8">
        <v>0.03</v>
      </c>
      <c r="V56" s="8">
        <v>0.02</v>
      </c>
      <c r="W56" s="8">
        <v>0.02</v>
      </c>
      <c r="X56" s="8">
        <v>0.02</v>
      </c>
    </row>
    <row r="57" spans="1:24" ht="14.4" x14ac:dyDescent="0.3">
      <c r="A57" s="28" t="s">
        <v>15</v>
      </c>
      <c r="B57" s="6" t="s">
        <v>6</v>
      </c>
      <c r="C57" s="7">
        <v>0.14000000000000001</v>
      </c>
      <c r="D57" s="7">
        <v>0.12</v>
      </c>
      <c r="E57" s="7">
        <v>0.1</v>
      </c>
      <c r="F57" s="7">
        <v>0.1</v>
      </c>
      <c r="G57" s="7">
        <v>0.11</v>
      </c>
      <c r="H57" s="7">
        <v>0.11</v>
      </c>
      <c r="I57" s="7">
        <v>0.13</v>
      </c>
      <c r="J57" s="7">
        <v>0.14000000000000001</v>
      </c>
      <c r="K57" s="7">
        <v>0.14000000000000001</v>
      </c>
      <c r="L57" s="7">
        <v>0.14000000000000001</v>
      </c>
      <c r="M57" s="7">
        <v>0.15</v>
      </c>
      <c r="N57" s="7">
        <v>0.13</v>
      </c>
      <c r="O57" s="7">
        <v>0.15</v>
      </c>
      <c r="P57" s="7">
        <v>0.16</v>
      </c>
      <c r="Q57" s="7">
        <v>0.16</v>
      </c>
      <c r="R57" s="7">
        <v>0.17</v>
      </c>
      <c r="S57" s="7">
        <v>0.17</v>
      </c>
      <c r="T57" s="7">
        <v>0.17</v>
      </c>
      <c r="U57" s="7">
        <v>0.15</v>
      </c>
      <c r="V57" s="7">
        <v>0.14000000000000001</v>
      </c>
      <c r="W57" s="7">
        <v>0.13</v>
      </c>
      <c r="X57" s="7">
        <v>0.13</v>
      </c>
    </row>
    <row r="58" spans="1:24" ht="14.4" x14ac:dyDescent="0.3">
      <c r="A58" s="27"/>
      <c r="B58" s="6" t="s">
        <v>63</v>
      </c>
      <c r="C58" s="8">
        <v>0.03</v>
      </c>
      <c r="D58" s="8">
        <v>0.03</v>
      </c>
      <c r="E58" s="8">
        <v>0.03</v>
      </c>
      <c r="F58" s="8">
        <v>0.02</v>
      </c>
      <c r="G58" s="8">
        <v>0.03</v>
      </c>
      <c r="H58" s="8">
        <v>0.03</v>
      </c>
      <c r="I58" s="8">
        <v>0.03</v>
      </c>
      <c r="J58" s="8">
        <v>0.03</v>
      </c>
      <c r="K58" s="8">
        <v>0.05</v>
      </c>
      <c r="L58" s="8">
        <v>0.05</v>
      </c>
      <c r="M58" s="8">
        <v>0.08</v>
      </c>
      <c r="N58" s="8">
        <v>0.08</v>
      </c>
      <c r="O58" s="8">
        <v>0.09</v>
      </c>
      <c r="P58" s="8">
        <v>0.08</v>
      </c>
      <c r="Q58" s="8">
        <v>0.09</v>
      </c>
      <c r="R58" s="8">
        <v>0.09</v>
      </c>
      <c r="S58" s="8">
        <v>0.09</v>
      </c>
      <c r="T58" s="8">
        <v>0.09</v>
      </c>
      <c r="U58" s="8">
        <v>0.09</v>
      </c>
      <c r="V58" s="8">
        <v>0.09</v>
      </c>
      <c r="W58" s="8">
        <v>0.09</v>
      </c>
      <c r="X58" s="8">
        <v>0.09</v>
      </c>
    </row>
    <row r="59" spans="1:24" ht="14.4" x14ac:dyDescent="0.3">
      <c r="A59" s="27"/>
      <c r="B59" s="6" t="s">
        <v>64</v>
      </c>
      <c r="C59" s="7">
        <v>0.04</v>
      </c>
      <c r="D59" s="7">
        <v>0.04</v>
      </c>
      <c r="E59" s="7">
        <v>0.04</v>
      </c>
      <c r="F59" s="7">
        <v>0.04</v>
      </c>
      <c r="G59" s="7">
        <v>0.04</v>
      </c>
      <c r="H59" s="7">
        <v>0.04</v>
      </c>
      <c r="I59" s="7">
        <v>0.04</v>
      </c>
      <c r="J59" s="7">
        <v>0.04</v>
      </c>
      <c r="K59" s="7">
        <v>0.04</v>
      </c>
      <c r="L59" s="7">
        <v>0.04</v>
      </c>
      <c r="M59" s="7">
        <v>0.05</v>
      </c>
      <c r="N59" s="7">
        <v>0.04</v>
      </c>
      <c r="O59" s="7">
        <v>0.04</v>
      </c>
      <c r="P59" s="7">
        <v>0.04</v>
      </c>
      <c r="Q59" s="7">
        <v>0.04</v>
      </c>
      <c r="R59" s="7">
        <v>0.03</v>
      </c>
      <c r="S59" s="7">
        <v>0.03</v>
      </c>
      <c r="T59" s="7">
        <v>0.03</v>
      </c>
      <c r="U59" s="7">
        <v>0.03</v>
      </c>
      <c r="V59" s="7">
        <v>0.03</v>
      </c>
      <c r="W59" s="7">
        <v>0.03</v>
      </c>
      <c r="X59" s="7">
        <v>0.04</v>
      </c>
    </row>
    <row r="60" spans="1:24" ht="14.4" x14ac:dyDescent="0.3">
      <c r="A60" s="27"/>
      <c r="B60" s="6" t="s">
        <v>65</v>
      </c>
      <c r="C60" s="8">
        <v>0.4</v>
      </c>
      <c r="D60" s="8">
        <v>0.38</v>
      </c>
      <c r="E60" s="8">
        <v>0.32</v>
      </c>
      <c r="F60" s="8">
        <v>0.28000000000000003</v>
      </c>
      <c r="G60" s="8">
        <v>0.34</v>
      </c>
      <c r="H60" s="8">
        <v>0.31</v>
      </c>
      <c r="I60" s="8">
        <v>0.39</v>
      </c>
      <c r="J60" s="8">
        <v>0.41</v>
      </c>
      <c r="K60" s="8">
        <v>0.41</v>
      </c>
      <c r="L60" s="8">
        <v>0.4</v>
      </c>
      <c r="M60" s="8">
        <v>0.43</v>
      </c>
      <c r="N60" s="8">
        <v>0.33</v>
      </c>
      <c r="O60" s="8">
        <v>0.41</v>
      </c>
      <c r="P60" s="8">
        <v>0.43</v>
      </c>
      <c r="Q60" s="8">
        <v>0.48</v>
      </c>
      <c r="R60" s="8">
        <v>0.49</v>
      </c>
      <c r="S60" s="8">
        <v>0.51</v>
      </c>
      <c r="T60" s="8">
        <v>0.52</v>
      </c>
      <c r="U60" s="8">
        <v>0.53</v>
      </c>
      <c r="V60" s="8">
        <v>0.53</v>
      </c>
      <c r="W60" s="8">
        <v>0.53</v>
      </c>
      <c r="X60" s="8">
        <v>0.56000000000000005</v>
      </c>
    </row>
    <row r="61" spans="1:24" ht="14.4" x14ac:dyDescent="0.3">
      <c r="A61" s="27"/>
      <c r="B61" s="6" t="s">
        <v>66</v>
      </c>
      <c r="C61" s="7">
        <v>0.14000000000000001</v>
      </c>
      <c r="D61" s="7">
        <v>0.13</v>
      </c>
      <c r="E61" s="7">
        <v>0.11</v>
      </c>
      <c r="F61" s="7">
        <v>0.1</v>
      </c>
      <c r="G61" s="7">
        <v>0.12</v>
      </c>
      <c r="H61" s="7">
        <v>0.11</v>
      </c>
      <c r="I61" s="7">
        <v>0.14000000000000001</v>
      </c>
      <c r="J61" s="7">
        <v>0.14000000000000001</v>
      </c>
      <c r="K61" s="7">
        <v>0.15</v>
      </c>
      <c r="L61" s="7">
        <v>0.15</v>
      </c>
      <c r="M61" s="7">
        <v>0.17</v>
      </c>
      <c r="N61" s="7">
        <v>0.14000000000000001</v>
      </c>
      <c r="O61" s="7">
        <v>0.17</v>
      </c>
      <c r="P61" s="7">
        <v>0.17</v>
      </c>
      <c r="Q61" s="7">
        <v>0.18</v>
      </c>
      <c r="R61" s="7">
        <v>0.18</v>
      </c>
      <c r="S61" s="7">
        <v>0.19</v>
      </c>
      <c r="T61" s="7">
        <v>0.19</v>
      </c>
      <c r="U61" s="7">
        <v>0.2</v>
      </c>
      <c r="V61" s="7">
        <v>0.2</v>
      </c>
      <c r="W61" s="7">
        <v>0.2</v>
      </c>
      <c r="X61" s="7">
        <v>0.2</v>
      </c>
    </row>
    <row r="62" spans="1:24" ht="14.4" x14ac:dyDescent="0.3">
      <c r="A62" s="27"/>
      <c r="B62" s="6" t="s">
        <v>67</v>
      </c>
      <c r="C62" s="8">
        <v>0.01</v>
      </c>
      <c r="D62" s="8">
        <v>0.01</v>
      </c>
      <c r="E62" s="8">
        <v>0.01</v>
      </c>
      <c r="F62" s="8">
        <v>0.01</v>
      </c>
      <c r="G62" s="8">
        <v>0.01</v>
      </c>
      <c r="H62" s="8">
        <v>0.01</v>
      </c>
      <c r="I62" s="8">
        <v>0.01</v>
      </c>
      <c r="J62" s="8">
        <v>0.01</v>
      </c>
      <c r="K62" s="8">
        <v>0.01</v>
      </c>
      <c r="L62" s="8">
        <v>0.01</v>
      </c>
      <c r="M62" s="8">
        <v>0.01</v>
      </c>
      <c r="N62" s="8">
        <v>0.01</v>
      </c>
      <c r="O62" s="8">
        <v>0.01</v>
      </c>
      <c r="P62" s="8">
        <v>0.01</v>
      </c>
      <c r="Q62" s="8">
        <v>0.01</v>
      </c>
      <c r="R62" s="8">
        <v>0.01</v>
      </c>
      <c r="S62" s="8">
        <v>0.01</v>
      </c>
      <c r="T62" s="8">
        <v>0.01</v>
      </c>
      <c r="U62" s="8">
        <v>0.01</v>
      </c>
      <c r="V62" s="8">
        <v>0.01</v>
      </c>
      <c r="W62" s="8">
        <v>0.01</v>
      </c>
      <c r="X62" s="8">
        <v>0.01</v>
      </c>
    </row>
    <row r="63" spans="1:24" ht="14.4" x14ac:dyDescent="0.3">
      <c r="A63" s="27"/>
      <c r="B63" s="6" t="s">
        <v>68</v>
      </c>
      <c r="C63" s="7">
        <v>0.26</v>
      </c>
      <c r="D63" s="7">
        <v>0.25</v>
      </c>
      <c r="E63" s="7">
        <v>0.21</v>
      </c>
      <c r="F63" s="7">
        <v>0.24</v>
      </c>
      <c r="G63" s="7">
        <v>0.22</v>
      </c>
      <c r="H63" s="7">
        <v>0.22</v>
      </c>
      <c r="I63" s="7">
        <v>0.25</v>
      </c>
      <c r="J63" s="7">
        <v>0.32</v>
      </c>
      <c r="K63" s="7">
        <v>0.3</v>
      </c>
      <c r="L63" s="7">
        <v>0.28999999999999998</v>
      </c>
      <c r="M63" s="7">
        <v>0.3</v>
      </c>
      <c r="N63" s="7">
        <v>0.28999999999999998</v>
      </c>
      <c r="O63" s="7">
        <v>0.28999999999999998</v>
      </c>
      <c r="P63" s="7">
        <v>0.32</v>
      </c>
      <c r="Q63" s="7">
        <v>0.3</v>
      </c>
      <c r="R63" s="7">
        <v>0.32</v>
      </c>
      <c r="S63" s="7">
        <v>0.32</v>
      </c>
      <c r="T63" s="7">
        <v>0.32</v>
      </c>
      <c r="U63" s="7">
        <v>0.22</v>
      </c>
      <c r="V63" s="7">
        <v>0.17</v>
      </c>
      <c r="W63" s="7">
        <v>0.14000000000000001</v>
      </c>
      <c r="X63" s="7">
        <v>0.1</v>
      </c>
    </row>
    <row r="64" spans="1:24" ht="14.4" x14ac:dyDescent="0.3">
      <c r="A64" s="27"/>
      <c r="B64" s="6" t="s">
        <v>69</v>
      </c>
      <c r="C64" s="8">
        <v>0.09</v>
      </c>
      <c r="D64" s="8">
        <v>0.01</v>
      </c>
      <c r="E64" s="8">
        <v>0.02</v>
      </c>
      <c r="F64" s="8">
        <v>0.02</v>
      </c>
      <c r="G64" s="8">
        <v>0.03</v>
      </c>
      <c r="H64" s="8">
        <v>0.02</v>
      </c>
      <c r="I64" s="8">
        <v>0.03</v>
      </c>
      <c r="J64" s="8">
        <v>0.02</v>
      </c>
      <c r="K64" s="8">
        <v>0.05</v>
      </c>
      <c r="L64" s="8">
        <v>0.05</v>
      </c>
      <c r="M64" s="8">
        <v>0.04</v>
      </c>
      <c r="N64" s="8">
        <v>0.02</v>
      </c>
      <c r="O64" s="8">
        <v>0.02</v>
      </c>
      <c r="P64" s="8">
        <v>0.04</v>
      </c>
      <c r="Q64" s="8">
        <v>0.04</v>
      </c>
      <c r="R64" s="8">
        <v>0.05</v>
      </c>
      <c r="S64" s="8">
        <v>7.0000000000000007E-2</v>
      </c>
      <c r="T64" s="8">
        <v>7.0000000000000007E-2</v>
      </c>
      <c r="U64" s="8">
        <v>7.0000000000000007E-2</v>
      </c>
      <c r="V64" s="8">
        <v>0.02</v>
      </c>
      <c r="W64" s="8">
        <v>0.02</v>
      </c>
      <c r="X64" s="8">
        <v>0.02</v>
      </c>
    </row>
    <row r="65" spans="1:24" ht="14.4" x14ac:dyDescent="0.3">
      <c r="A65" s="27"/>
      <c r="B65" s="6" t="s">
        <v>70</v>
      </c>
      <c r="C65" s="7">
        <v>0.13</v>
      </c>
      <c r="D65" s="7">
        <v>0.1</v>
      </c>
      <c r="E65" s="7">
        <v>0.09</v>
      </c>
      <c r="F65" s="7">
        <v>0.1</v>
      </c>
      <c r="G65" s="7">
        <v>0.1</v>
      </c>
      <c r="H65" s="7">
        <v>0.09</v>
      </c>
      <c r="I65" s="7">
        <v>0.11</v>
      </c>
      <c r="J65" s="7">
        <v>0.13</v>
      </c>
      <c r="K65" s="7">
        <v>0.13</v>
      </c>
      <c r="L65" s="7">
        <v>0.13</v>
      </c>
      <c r="M65" s="7">
        <v>0.13</v>
      </c>
      <c r="N65" s="7">
        <v>0.12</v>
      </c>
      <c r="O65" s="7">
        <v>0.12</v>
      </c>
      <c r="P65" s="7">
        <v>0.14000000000000001</v>
      </c>
      <c r="Q65" s="7">
        <v>0.13</v>
      </c>
      <c r="R65" s="7">
        <v>0.14000000000000001</v>
      </c>
      <c r="S65" s="7">
        <v>0.14000000000000001</v>
      </c>
      <c r="T65" s="7">
        <v>0.14000000000000001</v>
      </c>
      <c r="U65" s="7">
        <v>0.1</v>
      </c>
      <c r="V65" s="7">
        <v>7.0000000000000007E-2</v>
      </c>
      <c r="W65" s="7">
        <v>0.06</v>
      </c>
      <c r="X65" s="7">
        <v>0.05</v>
      </c>
    </row>
    <row r="66" spans="1:24" ht="14.4" x14ac:dyDescent="0.3">
      <c r="A66" s="28" t="s">
        <v>17</v>
      </c>
      <c r="B66" s="6" t="s">
        <v>6</v>
      </c>
      <c r="C66" s="8">
        <v>0.3</v>
      </c>
      <c r="D66" s="8">
        <v>0.31</v>
      </c>
      <c r="E66" s="8">
        <v>0.33</v>
      </c>
      <c r="F66" s="8">
        <v>0.33</v>
      </c>
      <c r="G66" s="8">
        <v>0.34</v>
      </c>
      <c r="H66" s="8">
        <v>0.42</v>
      </c>
      <c r="I66" s="8">
        <v>0.37</v>
      </c>
      <c r="J66" s="8">
        <v>0.37</v>
      </c>
      <c r="K66" s="8">
        <v>0.43</v>
      </c>
      <c r="L66" s="8">
        <v>0.4</v>
      </c>
      <c r="M66" s="8">
        <v>0.32</v>
      </c>
      <c r="N66" s="8">
        <v>0.28000000000000003</v>
      </c>
      <c r="O66" s="8">
        <v>0.27</v>
      </c>
      <c r="P66" s="8">
        <v>0.26</v>
      </c>
      <c r="Q66" s="8">
        <v>0.28999999999999998</v>
      </c>
      <c r="R66" s="8">
        <v>0.27</v>
      </c>
      <c r="S66" s="8">
        <v>0.3</v>
      </c>
      <c r="T66" s="8">
        <v>0.28999999999999998</v>
      </c>
      <c r="U66" s="8">
        <v>0.28999999999999998</v>
      </c>
      <c r="V66" s="8">
        <v>0.3</v>
      </c>
      <c r="W66" s="8">
        <v>0.3</v>
      </c>
      <c r="X66" s="8">
        <v>0.31</v>
      </c>
    </row>
    <row r="67" spans="1:24" ht="14.4" x14ac:dyDescent="0.3">
      <c r="A67" s="27"/>
      <c r="B67" s="6" t="s">
        <v>63</v>
      </c>
      <c r="C67" s="7">
        <v>0.06</v>
      </c>
      <c r="D67" s="7">
        <v>0.06</v>
      </c>
      <c r="E67" s="7">
        <v>0.06</v>
      </c>
      <c r="F67" s="7">
        <v>0.06</v>
      </c>
      <c r="G67" s="7">
        <v>0.06</v>
      </c>
      <c r="H67" s="7">
        <v>0.06</v>
      </c>
      <c r="I67" s="7">
        <v>7.0000000000000007E-2</v>
      </c>
      <c r="J67" s="7">
        <v>7.0000000000000007E-2</v>
      </c>
      <c r="K67" s="7">
        <v>0.08</v>
      </c>
      <c r="L67" s="7">
        <v>0.09</v>
      </c>
      <c r="M67" s="7">
        <v>0.09</v>
      </c>
      <c r="N67" s="7">
        <v>0.09</v>
      </c>
      <c r="O67" s="7">
        <v>0.1</v>
      </c>
      <c r="P67" s="7">
        <v>0.1</v>
      </c>
      <c r="Q67" s="7">
        <v>0.11</v>
      </c>
      <c r="R67" s="7">
        <v>0.11</v>
      </c>
      <c r="S67" s="7">
        <v>0.12</v>
      </c>
      <c r="T67" s="7">
        <v>0.14000000000000001</v>
      </c>
      <c r="U67" s="7">
        <v>0.14000000000000001</v>
      </c>
      <c r="V67" s="7">
        <v>0.17</v>
      </c>
      <c r="W67" s="7">
        <v>0.18</v>
      </c>
      <c r="X67" s="7">
        <v>0.2</v>
      </c>
    </row>
    <row r="68" spans="1:24" ht="14.4" x14ac:dyDescent="0.3">
      <c r="A68" s="27"/>
      <c r="B68" s="6" t="s">
        <v>64</v>
      </c>
      <c r="C68" s="8">
        <v>0.13</v>
      </c>
      <c r="D68" s="8">
        <v>0.13</v>
      </c>
      <c r="E68" s="8">
        <v>0.14000000000000001</v>
      </c>
      <c r="F68" s="8">
        <v>0.14000000000000001</v>
      </c>
      <c r="G68" s="8">
        <v>0.14000000000000001</v>
      </c>
      <c r="H68" s="8">
        <v>0.14000000000000001</v>
      </c>
      <c r="I68" s="8">
        <v>0.13</v>
      </c>
      <c r="J68" s="8">
        <v>0.13</v>
      </c>
      <c r="K68" s="8">
        <v>0.12</v>
      </c>
      <c r="L68" s="8">
        <v>0.11</v>
      </c>
      <c r="M68" s="8">
        <v>0.1</v>
      </c>
      <c r="N68" s="8">
        <v>0.09</v>
      </c>
      <c r="O68" s="8">
        <v>0.09</v>
      </c>
      <c r="P68" s="8">
        <v>0.08</v>
      </c>
      <c r="Q68" s="8">
        <v>0.08</v>
      </c>
      <c r="R68" s="8">
        <v>0.08</v>
      </c>
      <c r="S68" s="8">
        <v>0.1</v>
      </c>
      <c r="T68" s="8">
        <v>0.09</v>
      </c>
      <c r="U68" s="8">
        <v>0.08</v>
      </c>
      <c r="V68" s="8">
        <v>0.08</v>
      </c>
      <c r="W68" s="8">
        <v>0.08</v>
      </c>
      <c r="X68" s="8">
        <v>0.08</v>
      </c>
    </row>
    <row r="69" spans="1:24" ht="14.4" x14ac:dyDescent="0.3">
      <c r="A69" s="27"/>
      <c r="B69" s="6" t="s">
        <v>65</v>
      </c>
      <c r="C69" s="7">
        <v>0.65</v>
      </c>
      <c r="D69" s="7">
        <v>0.65</v>
      </c>
      <c r="E69" s="7">
        <v>0.63</v>
      </c>
      <c r="F69" s="7">
        <v>0.62</v>
      </c>
      <c r="G69" s="7">
        <v>0.61</v>
      </c>
      <c r="H69" s="7">
        <v>0.62</v>
      </c>
      <c r="I69" s="7">
        <v>0.57999999999999996</v>
      </c>
      <c r="J69" s="7">
        <v>0.64</v>
      </c>
      <c r="K69" s="7">
        <v>0.67</v>
      </c>
      <c r="L69" s="7">
        <v>0.65</v>
      </c>
      <c r="M69" s="7">
        <v>0.69</v>
      </c>
      <c r="N69" s="7">
        <v>0.69</v>
      </c>
      <c r="O69" s="7">
        <v>0.69</v>
      </c>
      <c r="P69" s="7">
        <v>0.7</v>
      </c>
      <c r="Q69" s="7">
        <v>0.72</v>
      </c>
      <c r="R69" s="7">
        <v>0.75</v>
      </c>
      <c r="S69" s="7">
        <v>0.74</v>
      </c>
      <c r="T69" s="7">
        <v>0.71</v>
      </c>
      <c r="U69" s="7">
        <v>0.72</v>
      </c>
      <c r="V69" s="7">
        <v>0.73</v>
      </c>
      <c r="W69" s="7">
        <v>0.73</v>
      </c>
      <c r="X69" s="7">
        <v>0.73</v>
      </c>
    </row>
    <row r="70" spans="1:24" ht="14.4" x14ac:dyDescent="0.3">
      <c r="A70" s="27"/>
      <c r="B70" s="6" t="s">
        <v>66</v>
      </c>
      <c r="C70" s="8">
        <v>0.26</v>
      </c>
      <c r="D70" s="8">
        <v>0.26</v>
      </c>
      <c r="E70" s="8">
        <v>0.25</v>
      </c>
      <c r="F70" s="8">
        <v>0.25</v>
      </c>
      <c r="G70" s="8">
        <v>0.25</v>
      </c>
      <c r="H70" s="8">
        <v>0.25</v>
      </c>
      <c r="I70" s="8">
        <v>0.24</v>
      </c>
      <c r="J70" s="8">
        <v>0.26</v>
      </c>
      <c r="K70" s="8">
        <v>0.27</v>
      </c>
      <c r="L70" s="8">
        <v>0.26</v>
      </c>
      <c r="M70" s="8">
        <v>0.27</v>
      </c>
      <c r="N70" s="8">
        <v>0.27</v>
      </c>
      <c r="O70" s="8">
        <v>0.27</v>
      </c>
      <c r="P70" s="8">
        <v>0.27</v>
      </c>
      <c r="Q70" s="8">
        <v>0.28000000000000003</v>
      </c>
      <c r="R70" s="8">
        <v>0.28999999999999998</v>
      </c>
      <c r="S70" s="8">
        <v>0.3</v>
      </c>
      <c r="T70" s="8">
        <v>0.28999999999999998</v>
      </c>
      <c r="U70" s="8">
        <v>0.28999999999999998</v>
      </c>
      <c r="V70" s="8">
        <v>0.3</v>
      </c>
      <c r="W70" s="8">
        <v>0.31</v>
      </c>
      <c r="X70" s="8">
        <v>0.32</v>
      </c>
    </row>
    <row r="71" spans="1:24" ht="14.4" x14ac:dyDescent="0.3">
      <c r="A71" s="27"/>
      <c r="B71" s="6" t="s">
        <v>67</v>
      </c>
      <c r="C71" s="7">
        <v>0.26</v>
      </c>
      <c r="D71" s="7">
        <v>0.27</v>
      </c>
      <c r="E71" s="7">
        <v>0.31</v>
      </c>
      <c r="F71" s="7">
        <v>0.3</v>
      </c>
      <c r="G71" s="7">
        <v>0.32</v>
      </c>
      <c r="H71" s="7">
        <v>0.36</v>
      </c>
      <c r="I71" s="7">
        <v>0.33</v>
      </c>
      <c r="J71" s="7">
        <v>0.33</v>
      </c>
      <c r="K71" s="7">
        <v>0.32</v>
      </c>
      <c r="L71" s="7">
        <v>0.26</v>
      </c>
      <c r="M71" s="7">
        <v>0.28999999999999998</v>
      </c>
      <c r="N71" s="7">
        <v>0.31</v>
      </c>
      <c r="O71" s="7">
        <v>0.32</v>
      </c>
      <c r="P71" s="7">
        <v>0.33</v>
      </c>
      <c r="Q71" s="7">
        <v>0.31</v>
      </c>
      <c r="R71" s="7">
        <v>0.3</v>
      </c>
      <c r="S71" s="7">
        <v>0.34</v>
      </c>
      <c r="T71" s="7">
        <v>0.32</v>
      </c>
      <c r="U71" s="7">
        <v>0.31</v>
      </c>
      <c r="V71" s="7">
        <v>0.45</v>
      </c>
      <c r="W71" s="7">
        <v>0.3</v>
      </c>
      <c r="X71" s="7">
        <v>0.31</v>
      </c>
    </row>
    <row r="72" spans="1:24" ht="14.4" x14ac:dyDescent="0.3">
      <c r="A72" s="27"/>
      <c r="B72" s="6" t="s">
        <v>68</v>
      </c>
      <c r="C72" s="8">
        <v>0.28999999999999998</v>
      </c>
      <c r="D72" s="8">
        <v>0.3</v>
      </c>
      <c r="E72" s="8">
        <v>0.34</v>
      </c>
      <c r="F72" s="8">
        <v>0.33</v>
      </c>
      <c r="G72" s="8">
        <v>0.37</v>
      </c>
      <c r="H72" s="8">
        <v>0.56000000000000005</v>
      </c>
      <c r="I72" s="8">
        <v>0.46</v>
      </c>
      <c r="J72" s="8">
        <v>0.51</v>
      </c>
      <c r="K72" s="8">
        <v>0.43</v>
      </c>
      <c r="L72" s="8">
        <v>0.33</v>
      </c>
      <c r="M72" s="8">
        <v>0.22</v>
      </c>
      <c r="N72" s="8">
        <v>0.13</v>
      </c>
      <c r="O72" s="8">
        <v>0.13</v>
      </c>
      <c r="P72" s="8">
        <v>0.12</v>
      </c>
      <c r="Q72" s="8">
        <v>0.14000000000000001</v>
      </c>
      <c r="R72" s="8">
        <v>0.1</v>
      </c>
      <c r="S72" s="8">
        <v>0.09</v>
      </c>
      <c r="T72" s="8">
        <v>0.14000000000000001</v>
      </c>
      <c r="U72" s="8">
        <v>0.12</v>
      </c>
      <c r="V72" s="8">
        <v>0.11</v>
      </c>
      <c r="W72" s="8">
        <v>0.1</v>
      </c>
      <c r="X72" s="8">
        <v>0.1</v>
      </c>
    </row>
    <row r="73" spans="1:24" ht="14.4" x14ac:dyDescent="0.3">
      <c r="A73" s="27"/>
      <c r="B73" s="6" t="s">
        <v>69</v>
      </c>
      <c r="C73" s="7">
        <v>0.45</v>
      </c>
      <c r="D73" s="7">
        <v>0.47</v>
      </c>
      <c r="E73" s="7">
        <v>0.53</v>
      </c>
      <c r="F73" s="7">
        <v>0.52</v>
      </c>
      <c r="G73" s="7">
        <v>0.56000000000000005</v>
      </c>
      <c r="H73" s="7">
        <v>0.78</v>
      </c>
      <c r="I73" s="7">
        <v>0.64</v>
      </c>
      <c r="J73" s="7">
        <v>0.55000000000000004</v>
      </c>
      <c r="K73" s="7">
        <v>1</v>
      </c>
      <c r="L73" s="7">
        <v>1</v>
      </c>
      <c r="M73" s="7">
        <v>0.55000000000000004</v>
      </c>
      <c r="N73" s="7">
        <v>0.4</v>
      </c>
      <c r="O73" s="7">
        <v>0.36</v>
      </c>
      <c r="P73" s="7">
        <v>0.26</v>
      </c>
      <c r="Q73" s="7">
        <v>0.47</v>
      </c>
      <c r="R73" s="7">
        <v>0.33</v>
      </c>
      <c r="S73" s="7">
        <v>0.48</v>
      </c>
      <c r="T73" s="7">
        <v>0.38</v>
      </c>
      <c r="U73" s="7">
        <v>0.43</v>
      </c>
      <c r="V73" s="7">
        <v>0.31</v>
      </c>
      <c r="W73" s="7">
        <v>0.48</v>
      </c>
      <c r="X73" s="7">
        <v>0.48</v>
      </c>
    </row>
    <row r="74" spans="1:24" ht="14.4" x14ac:dyDescent="0.3">
      <c r="A74" s="27"/>
      <c r="B74" s="6" t="s">
        <v>70</v>
      </c>
      <c r="C74" s="8">
        <v>0.33</v>
      </c>
      <c r="D74" s="8">
        <v>0.35</v>
      </c>
      <c r="E74" s="8">
        <v>0.39</v>
      </c>
      <c r="F74" s="8">
        <v>0.38</v>
      </c>
      <c r="G74" s="8">
        <v>0.42</v>
      </c>
      <c r="H74" s="8">
        <v>0.56999999999999995</v>
      </c>
      <c r="I74" s="8">
        <v>0.48</v>
      </c>
      <c r="J74" s="8">
        <v>0.47</v>
      </c>
      <c r="K74" s="8">
        <v>0.57999999999999996</v>
      </c>
      <c r="L74" s="8">
        <v>0.53</v>
      </c>
      <c r="M74" s="8">
        <v>0.35</v>
      </c>
      <c r="N74" s="8">
        <v>0.27</v>
      </c>
      <c r="O74" s="8">
        <v>0.26</v>
      </c>
      <c r="P74" s="8">
        <v>0.23</v>
      </c>
      <c r="Q74" s="8">
        <v>0.3</v>
      </c>
      <c r="R74" s="8">
        <v>0.24</v>
      </c>
      <c r="S74" s="8">
        <v>0.28999999999999998</v>
      </c>
      <c r="T74" s="8">
        <v>0.27</v>
      </c>
      <c r="U74" s="8">
        <v>0.28000000000000003</v>
      </c>
      <c r="V74" s="8">
        <v>0.28000000000000003</v>
      </c>
      <c r="W74" s="8">
        <v>0.28999999999999998</v>
      </c>
      <c r="X74" s="8">
        <v>0.28999999999999998</v>
      </c>
    </row>
    <row r="75" spans="1:24" ht="14.4" x14ac:dyDescent="0.3">
      <c r="A75" s="28" t="s">
        <v>72</v>
      </c>
      <c r="B75" s="6" t="s">
        <v>6</v>
      </c>
      <c r="C75" s="7">
        <v>0.11</v>
      </c>
      <c r="D75" s="7">
        <v>0.12</v>
      </c>
      <c r="E75" s="7">
        <v>0.1</v>
      </c>
      <c r="F75" s="7">
        <v>0.1</v>
      </c>
      <c r="G75" s="7">
        <v>0.12</v>
      </c>
      <c r="H75" s="7">
        <v>0.12</v>
      </c>
      <c r="I75" s="7">
        <v>0.13</v>
      </c>
      <c r="J75" s="7">
        <v>0.13</v>
      </c>
      <c r="K75" s="7">
        <v>0.15</v>
      </c>
      <c r="L75" s="7">
        <v>0.14000000000000001</v>
      </c>
      <c r="M75" s="7">
        <v>0.14000000000000001</v>
      </c>
      <c r="N75" s="7">
        <v>0.15</v>
      </c>
      <c r="O75" s="7">
        <v>0.15</v>
      </c>
      <c r="P75" s="7">
        <v>0.15</v>
      </c>
      <c r="Q75" s="7">
        <v>0.16</v>
      </c>
      <c r="R75" s="7">
        <v>0.16</v>
      </c>
      <c r="S75" s="7">
        <v>0.16</v>
      </c>
      <c r="T75" s="7">
        <v>0.15</v>
      </c>
      <c r="U75" s="7">
        <v>0.17</v>
      </c>
      <c r="V75" s="7">
        <v>0.16</v>
      </c>
      <c r="W75" s="7">
        <v>0.16</v>
      </c>
      <c r="X75" s="7">
        <v>0.18</v>
      </c>
    </row>
    <row r="76" spans="1:24" ht="14.4" x14ac:dyDescent="0.3">
      <c r="A76" s="27"/>
      <c r="B76" s="6" t="s">
        <v>63</v>
      </c>
      <c r="C76" s="8">
        <v>0.11</v>
      </c>
      <c r="D76" s="8">
        <v>0.1</v>
      </c>
      <c r="E76" s="8">
        <v>0.09</v>
      </c>
      <c r="F76" s="8">
        <v>0.1</v>
      </c>
      <c r="G76" s="8">
        <v>0.1</v>
      </c>
      <c r="H76" s="8">
        <v>0.13</v>
      </c>
      <c r="I76" s="8">
        <v>0.14000000000000001</v>
      </c>
      <c r="J76" s="8">
        <v>0.15</v>
      </c>
      <c r="K76" s="8">
        <v>0.16</v>
      </c>
      <c r="L76" s="8">
        <v>0.17</v>
      </c>
      <c r="M76" s="8">
        <v>0.18</v>
      </c>
      <c r="N76" s="8">
        <v>0.2</v>
      </c>
      <c r="O76" s="8">
        <v>0.21</v>
      </c>
      <c r="P76" s="8">
        <v>0.22</v>
      </c>
      <c r="Q76" s="8">
        <v>0.25</v>
      </c>
      <c r="R76" s="8">
        <v>0.26</v>
      </c>
      <c r="S76" s="8">
        <v>0.25</v>
      </c>
      <c r="T76" s="8">
        <v>0.24</v>
      </c>
      <c r="U76" s="8">
        <v>0.26</v>
      </c>
      <c r="V76" s="8">
        <v>0.24</v>
      </c>
      <c r="W76" s="8">
        <v>0.25</v>
      </c>
      <c r="X76" s="8">
        <v>0.26</v>
      </c>
    </row>
    <row r="77" spans="1:24" ht="14.4" x14ac:dyDescent="0.3">
      <c r="A77" s="27"/>
      <c r="B77" s="6" t="s">
        <v>64</v>
      </c>
      <c r="C77" s="7">
        <v>0.06</v>
      </c>
      <c r="D77" s="7">
        <v>0.05</v>
      </c>
      <c r="E77" s="7">
        <v>0.06</v>
      </c>
      <c r="F77" s="7">
        <v>7.0000000000000007E-2</v>
      </c>
      <c r="G77" s="7">
        <v>0.14000000000000001</v>
      </c>
      <c r="H77" s="7">
        <v>0.08</v>
      </c>
      <c r="I77" s="7">
        <v>0.08</v>
      </c>
      <c r="J77" s="7">
        <v>0.09</v>
      </c>
      <c r="K77" s="7">
        <v>0.09</v>
      </c>
      <c r="L77" s="7">
        <v>0.09</v>
      </c>
      <c r="M77" s="7">
        <v>0.1</v>
      </c>
      <c r="N77" s="7">
        <v>0.11</v>
      </c>
      <c r="O77" s="7">
        <v>0.1</v>
      </c>
      <c r="P77" s="7">
        <v>0.1</v>
      </c>
      <c r="Q77" s="7">
        <v>0.13</v>
      </c>
      <c r="R77" s="7">
        <v>0.11</v>
      </c>
      <c r="S77" s="7">
        <v>0.12</v>
      </c>
      <c r="T77" s="7">
        <v>0.11</v>
      </c>
      <c r="U77" s="7">
        <v>0.15</v>
      </c>
      <c r="V77" s="7">
        <v>0.15</v>
      </c>
      <c r="W77" s="7">
        <v>0.16</v>
      </c>
      <c r="X77" s="7">
        <v>0.16</v>
      </c>
    </row>
    <row r="78" spans="1:24" ht="14.4" x14ac:dyDescent="0.3">
      <c r="A78" s="27"/>
      <c r="B78" s="6" t="s">
        <v>65</v>
      </c>
      <c r="C78" s="8">
        <v>0.48</v>
      </c>
      <c r="D78" s="8">
        <v>0.51</v>
      </c>
      <c r="E78" s="8">
        <v>0.46</v>
      </c>
      <c r="F78" s="8">
        <v>0.45</v>
      </c>
      <c r="G78" s="8">
        <v>0.48</v>
      </c>
      <c r="H78" s="8">
        <v>0.5</v>
      </c>
      <c r="I78" s="8">
        <v>0.54</v>
      </c>
      <c r="J78" s="8">
        <v>0.55000000000000004</v>
      </c>
      <c r="K78" s="8">
        <v>0.6</v>
      </c>
      <c r="L78" s="8">
        <v>0.55000000000000004</v>
      </c>
      <c r="M78" s="8">
        <v>0.55000000000000004</v>
      </c>
      <c r="N78" s="8">
        <v>0.56000000000000005</v>
      </c>
      <c r="O78" s="8">
        <v>0.52</v>
      </c>
      <c r="P78" s="8">
        <v>0.54</v>
      </c>
      <c r="Q78" s="8">
        <v>0.54</v>
      </c>
      <c r="R78" s="8">
        <v>0.55000000000000004</v>
      </c>
      <c r="S78" s="8">
        <v>0.49</v>
      </c>
      <c r="T78" s="8">
        <v>0.49</v>
      </c>
      <c r="U78" s="8">
        <v>0.55000000000000004</v>
      </c>
      <c r="V78" s="8">
        <v>0.49</v>
      </c>
      <c r="W78" s="8">
        <v>0.46</v>
      </c>
      <c r="X78" s="8">
        <v>0.61</v>
      </c>
    </row>
    <row r="79" spans="1:24" ht="14.4" x14ac:dyDescent="0.3">
      <c r="A79" s="27"/>
      <c r="B79" s="6" t="s">
        <v>66</v>
      </c>
      <c r="C79" s="7">
        <v>0.2</v>
      </c>
      <c r="D79" s="7">
        <v>0.2</v>
      </c>
      <c r="E79" s="7">
        <v>0.19</v>
      </c>
      <c r="F79" s="7">
        <v>0.2</v>
      </c>
      <c r="G79" s="7">
        <v>0.24</v>
      </c>
      <c r="H79" s="7">
        <v>0.23</v>
      </c>
      <c r="I79" s="7">
        <v>0.24</v>
      </c>
      <c r="J79" s="7">
        <v>0.25</v>
      </c>
      <c r="K79" s="7">
        <v>0.27</v>
      </c>
      <c r="L79" s="7">
        <v>0.26</v>
      </c>
      <c r="M79" s="7">
        <v>0.27</v>
      </c>
      <c r="N79" s="7">
        <v>0.28000000000000003</v>
      </c>
      <c r="O79" s="7">
        <v>0.28000000000000003</v>
      </c>
      <c r="P79" s="7">
        <v>0.28000000000000003</v>
      </c>
      <c r="Q79" s="7">
        <v>0.31</v>
      </c>
      <c r="R79" s="7">
        <v>0.31</v>
      </c>
      <c r="S79" s="7">
        <v>0.3</v>
      </c>
      <c r="T79" s="7">
        <v>0.28000000000000003</v>
      </c>
      <c r="U79" s="7">
        <v>0.33</v>
      </c>
      <c r="V79" s="7">
        <v>0.3</v>
      </c>
      <c r="W79" s="7">
        <v>0.3</v>
      </c>
      <c r="X79" s="7">
        <v>0.35</v>
      </c>
    </row>
    <row r="80" spans="1:24" ht="14.4" x14ac:dyDescent="0.3">
      <c r="A80" s="27"/>
      <c r="B80" s="6" t="s">
        <v>67</v>
      </c>
      <c r="C80" s="8">
        <v>0</v>
      </c>
      <c r="D80" s="8">
        <v>0</v>
      </c>
      <c r="E80" s="8">
        <v>0</v>
      </c>
      <c r="F80" s="8">
        <v>0</v>
      </c>
      <c r="G80" s="8">
        <v>0</v>
      </c>
      <c r="H80" s="8">
        <v>0</v>
      </c>
      <c r="I80" s="8">
        <v>0</v>
      </c>
      <c r="J80" s="8">
        <v>0</v>
      </c>
      <c r="K80" s="8">
        <v>0</v>
      </c>
      <c r="L80" s="8">
        <v>0</v>
      </c>
      <c r="M80" s="8">
        <v>0</v>
      </c>
      <c r="N80" s="8">
        <v>0</v>
      </c>
      <c r="O80" s="8">
        <v>0</v>
      </c>
      <c r="P80" s="8">
        <v>0</v>
      </c>
      <c r="Q80" s="8">
        <v>0</v>
      </c>
      <c r="R80" s="8">
        <v>0</v>
      </c>
      <c r="S80" s="8">
        <v>0</v>
      </c>
      <c r="T80" s="8">
        <v>0</v>
      </c>
      <c r="U80" s="8">
        <v>0</v>
      </c>
      <c r="V80" s="8">
        <v>0</v>
      </c>
      <c r="W80" s="8">
        <v>0</v>
      </c>
      <c r="X80" s="8">
        <v>0</v>
      </c>
    </row>
    <row r="81" spans="1:24" ht="14.4" x14ac:dyDescent="0.3">
      <c r="A81" s="27"/>
      <c r="B81" s="6" t="s">
        <v>68</v>
      </c>
      <c r="C81" s="7">
        <v>0.01</v>
      </c>
      <c r="D81" s="7">
        <v>0.02</v>
      </c>
      <c r="E81" s="7">
        <v>0.02</v>
      </c>
      <c r="F81" s="7">
        <v>0.02</v>
      </c>
      <c r="G81" s="7">
        <v>0.02</v>
      </c>
      <c r="H81" s="7">
        <v>0.01</v>
      </c>
      <c r="I81" s="7">
        <v>0.01</v>
      </c>
      <c r="J81" s="7">
        <v>0.02</v>
      </c>
      <c r="K81" s="7">
        <v>0.02</v>
      </c>
      <c r="L81" s="7">
        <v>0.02</v>
      </c>
      <c r="M81" s="7">
        <v>0.02</v>
      </c>
      <c r="N81" s="7">
        <v>0.02</v>
      </c>
      <c r="O81" s="7">
        <v>0.02</v>
      </c>
      <c r="P81" s="7">
        <v>0.02</v>
      </c>
      <c r="Q81" s="7">
        <v>0.02</v>
      </c>
      <c r="R81" s="7">
        <v>0.02</v>
      </c>
      <c r="S81" s="7">
        <v>0.02</v>
      </c>
      <c r="T81" s="7">
        <v>0.02</v>
      </c>
      <c r="U81" s="7">
        <v>0.02</v>
      </c>
      <c r="V81" s="7">
        <v>0.02</v>
      </c>
      <c r="W81" s="7">
        <v>0.02</v>
      </c>
      <c r="X81" s="7">
        <v>0.02</v>
      </c>
    </row>
    <row r="82" spans="1:24" ht="14.4" x14ac:dyDescent="0.3">
      <c r="A82" s="27"/>
      <c r="B82" s="6" t="s">
        <v>69</v>
      </c>
      <c r="C82" s="8">
        <v>0</v>
      </c>
      <c r="D82" s="8">
        <v>0.08</v>
      </c>
      <c r="E82" s="8">
        <v>0</v>
      </c>
      <c r="F82" s="8">
        <v>0</v>
      </c>
      <c r="G82" s="8">
        <v>0</v>
      </c>
      <c r="H82" s="8">
        <v>0</v>
      </c>
      <c r="I82" s="8">
        <v>0</v>
      </c>
      <c r="J82" s="8">
        <v>0.02</v>
      </c>
      <c r="K82" s="8">
        <v>0.02</v>
      </c>
      <c r="L82" s="8">
        <v>0.02</v>
      </c>
      <c r="M82" s="8">
        <v>0.02</v>
      </c>
      <c r="N82" s="8">
        <v>0.02</v>
      </c>
      <c r="O82" s="8">
        <v>0.02</v>
      </c>
      <c r="P82" s="8">
        <v>0.02</v>
      </c>
      <c r="Q82" s="8">
        <v>0.02</v>
      </c>
      <c r="R82" s="8">
        <v>0.02</v>
      </c>
      <c r="S82" s="8">
        <v>0.02</v>
      </c>
      <c r="T82" s="8">
        <v>0.02</v>
      </c>
      <c r="U82" s="8">
        <v>0.02</v>
      </c>
      <c r="V82" s="8">
        <v>0.02</v>
      </c>
      <c r="W82" s="8">
        <v>0.02</v>
      </c>
      <c r="X82" s="8">
        <v>0.02</v>
      </c>
    </row>
    <row r="83" spans="1:24" ht="14.4" x14ac:dyDescent="0.3">
      <c r="A83" s="27"/>
      <c r="B83" s="6" t="s">
        <v>70</v>
      </c>
      <c r="C83" s="7">
        <v>0</v>
      </c>
      <c r="D83" s="7">
        <v>0.03</v>
      </c>
      <c r="E83" s="7">
        <v>0.01</v>
      </c>
      <c r="F83" s="7">
        <v>0.01</v>
      </c>
      <c r="G83" s="7">
        <v>0.01</v>
      </c>
      <c r="H83" s="7">
        <v>0.01</v>
      </c>
      <c r="I83" s="7">
        <v>0.01</v>
      </c>
      <c r="J83" s="7">
        <v>0.01</v>
      </c>
      <c r="K83" s="7">
        <v>0.01</v>
      </c>
      <c r="L83" s="7">
        <v>0.01</v>
      </c>
      <c r="M83" s="7">
        <v>0.01</v>
      </c>
      <c r="N83" s="7">
        <v>0.01</v>
      </c>
      <c r="O83" s="7">
        <v>0.01</v>
      </c>
      <c r="P83" s="7">
        <v>0.01</v>
      </c>
      <c r="Q83" s="7">
        <v>0.01</v>
      </c>
      <c r="R83" s="7">
        <v>0.01</v>
      </c>
      <c r="S83" s="7">
        <v>0.01</v>
      </c>
      <c r="T83" s="7">
        <v>0.01</v>
      </c>
      <c r="U83" s="7">
        <v>0.01</v>
      </c>
      <c r="V83" s="7">
        <v>0.01</v>
      </c>
      <c r="W83" s="7">
        <v>0.01</v>
      </c>
      <c r="X83" s="7">
        <v>0.01</v>
      </c>
    </row>
    <row r="84" spans="1:24" ht="14.4" x14ac:dyDescent="0.3">
      <c r="A84" s="28" t="s">
        <v>19</v>
      </c>
      <c r="B84" s="6" t="s">
        <v>6</v>
      </c>
      <c r="C84" s="8">
        <v>0.12</v>
      </c>
      <c r="D84" s="8">
        <v>0.12</v>
      </c>
      <c r="E84" s="8">
        <v>0.11</v>
      </c>
      <c r="F84" s="8">
        <v>0.12</v>
      </c>
      <c r="G84" s="8">
        <v>0.14000000000000001</v>
      </c>
      <c r="H84" s="8">
        <v>0.12</v>
      </c>
      <c r="I84" s="8">
        <v>0.11</v>
      </c>
      <c r="J84" s="8">
        <v>0.12</v>
      </c>
      <c r="K84" s="8">
        <v>0.13</v>
      </c>
      <c r="L84" s="8">
        <v>0.11</v>
      </c>
      <c r="M84" s="8">
        <v>0.12</v>
      </c>
      <c r="N84" s="8">
        <v>0.13</v>
      </c>
      <c r="O84" s="8">
        <v>0.15</v>
      </c>
      <c r="P84" s="8">
        <v>0.15</v>
      </c>
      <c r="Q84" s="8">
        <v>0.16</v>
      </c>
      <c r="R84" s="8">
        <v>0.16</v>
      </c>
      <c r="S84" s="8">
        <v>0.17</v>
      </c>
      <c r="T84" s="8">
        <v>0.17</v>
      </c>
      <c r="U84" s="8">
        <v>0.17</v>
      </c>
      <c r="V84" s="8">
        <v>0.18</v>
      </c>
      <c r="W84" s="8">
        <v>0.17</v>
      </c>
      <c r="X84" s="8">
        <v>0.18</v>
      </c>
    </row>
    <row r="85" spans="1:24" ht="14.4" x14ac:dyDescent="0.3">
      <c r="A85" s="27"/>
      <c r="B85" s="6" t="s">
        <v>63</v>
      </c>
      <c r="C85" s="7">
        <v>0.05</v>
      </c>
      <c r="D85" s="7">
        <v>0.04</v>
      </c>
      <c r="E85" s="7">
        <v>0.04</v>
      </c>
      <c r="F85" s="7">
        <v>0.04</v>
      </c>
      <c r="G85" s="7">
        <v>0.05</v>
      </c>
      <c r="H85" s="7">
        <v>0.05</v>
      </c>
      <c r="I85" s="7">
        <v>0.05</v>
      </c>
      <c r="J85" s="7">
        <v>7.0000000000000007E-2</v>
      </c>
      <c r="K85" s="7">
        <v>7.0000000000000007E-2</v>
      </c>
      <c r="L85" s="7">
        <v>0.08</v>
      </c>
      <c r="M85" s="7">
        <v>0.08</v>
      </c>
      <c r="N85" s="7">
        <v>0.08</v>
      </c>
      <c r="O85" s="7">
        <v>0.09</v>
      </c>
      <c r="P85" s="7">
        <v>0.1</v>
      </c>
      <c r="Q85" s="7">
        <v>0.1</v>
      </c>
      <c r="R85" s="7">
        <v>0.13</v>
      </c>
      <c r="S85" s="7">
        <v>0.13</v>
      </c>
      <c r="T85" s="7">
        <v>0.15</v>
      </c>
      <c r="U85" s="7">
        <v>0.15</v>
      </c>
      <c r="V85" s="7">
        <v>0.15</v>
      </c>
      <c r="W85" s="7">
        <v>0.12</v>
      </c>
      <c r="X85" s="7">
        <v>0.19</v>
      </c>
    </row>
    <row r="86" spans="1:24" ht="14.4" x14ac:dyDescent="0.3">
      <c r="A86" s="27"/>
      <c r="B86" s="6" t="s">
        <v>64</v>
      </c>
      <c r="C86" s="8">
        <v>0.04</v>
      </c>
      <c r="D86" s="8">
        <v>0.03</v>
      </c>
      <c r="E86" s="8">
        <v>0.04</v>
      </c>
      <c r="F86" s="8">
        <v>0.04</v>
      </c>
      <c r="G86" s="8">
        <v>0.04</v>
      </c>
      <c r="H86" s="8">
        <v>0.05</v>
      </c>
      <c r="I86" s="8">
        <v>0.04</v>
      </c>
      <c r="J86" s="8">
        <v>0.05</v>
      </c>
      <c r="K86" s="8">
        <v>0.05</v>
      </c>
      <c r="L86" s="8">
        <v>0.06</v>
      </c>
      <c r="M86" s="8">
        <v>0.06</v>
      </c>
      <c r="N86" s="8">
        <v>0.06</v>
      </c>
      <c r="O86" s="8">
        <v>0.06</v>
      </c>
      <c r="P86" s="8">
        <v>7.0000000000000007E-2</v>
      </c>
      <c r="Q86" s="8">
        <v>7.0000000000000007E-2</v>
      </c>
      <c r="R86" s="8">
        <v>0.08</v>
      </c>
      <c r="S86" s="8">
        <v>0.08</v>
      </c>
      <c r="T86" s="8">
        <v>0.08</v>
      </c>
      <c r="U86" s="8">
        <v>7.0000000000000007E-2</v>
      </c>
      <c r="V86" s="8">
        <v>0.08</v>
      </c>
      <c r="W86" s="8">
        <v>0.08</v>
      </c>
      <c r="X86" s="8">
        <v>0.09</v>
      </c>
    </row>
    <row r="87" spans="1:24" ht="14.4" x14ac:dyDescent="0.3">
      <c r="A87" s="27"/>
      <c r="B87" s="6" t="s">
        <v>65</v>
      </c>
      <c r="C87" s="7">
        <v>0.5</v>
      </c>
      <c r="D87" s="7">
        <v>0.5</v>
      </c>
      <c r="E87" s="7">
        <v>0.47</v>
      </c>
      <c r="F87" s="7">
        <v>0.43</v>
      </c>
      <c r="G87" s="7">
        <v>0.43</v>
      </c>
      <c r="H87" s="7">
        <v>0.39</v>
      </c>
      <c r="I87" s="7">
        <v>0.36</v>
      </c>
      <c r="J87" s="7">
        <v>0.36</v>
      </c>
      <c r="K87" s="7">
        <v>0.32</v>
      </c>
      <c r="L87" s="7">
        <v>0.3</v>
      </c>
      <c r="M87" s="7">
        <v>0.34</v>
      </c>
      <c r="N87" s="7">
        <v>0.37</v>
      </c>
      <c r="O87" s="7">
        <v>0.46</v>
      </c>
      <c r="P87" s="7">
        <v>0.46</v>
      </c>
      <c r="Q87" s="7">
        <v>0.47</v>
      </c>
      <c r="R87" s="7">
        <v>0.41</v>
      </c>
      <c r="S87" s="7">
        <v>0.41</v>
      </c>
      <c r="T87" s="7">
        <v>0.42</v>
      </c>
      <c r="U87" s="7">
        <v>0.42</v>
      </c>
      <c r="V87" s="7">
        <v>0.44</v>
      </c>
      <c r="W87" s="7">
        <v>0.46</v>
      </c>
      <c r="X87" s="7">
        <v>0.47</v>
      </c>
    </row>
    <row r="88" spans="1:24" ht="14.4" x14ac:dyDescent="0.3">
      <c r="A88" s="27"/>
      <c r="B88" s="6" t="s">
        <v>66</v>
      </c>
      <c r="C88" s="8">
        <v>0.17</v>
      </c>
      <c r="D88" s="8">
        <v>0.17</v>
      </c>
      <c r="E88" s="8">
        <v>0.16</v>
      </c>
      <c r="F88" s="8">
        <v>0.15</v>
      </c>
      <c r="G88" s="8">
        <v>0.15</v>
      </c>
      <c r="H88" s="8">
        <v>0.15</v>
      </c>
      <c r="I88" s="8">
        <v>0.14000000000000001</v>
      </c>
      <c r="J88" s="8">
        <v>0.15</v>
      </c>
      <c r="K88" s="8">
        <v>0.14000000000000001</v>
      </c>
      <c r="L88" s="8">
        <v>0.14000000000000001</v>
      </c>
      <c r="M88" s="8">
        <v>0.15</v>
      </c>
      <c r="N88" s="8">
        <v>0.16</v>
      </c>
      <c r="O88" s="8">
        <v>0.19</v>
      </c>
      <c r="P88" s="8">
        <v>0.2</v>
      </c>
      <c r="Q88" s="8">
        <v>0.2</v>
      </c>
      <c r="R88" s="8">
        <v>0.2</v>
      </c>
      <c r="S88" s="8">
        <v>0.2</v>
      </c>
      <c r="T88" s="8">
        <v>0.21</v>
      </c>
      <c r="U88" s="8">
        <v>0.21</v>
      </c>
      <c r="V88" s="8">
        <v>0.22</v>
      </c>
      <c r="W88" s="8">
        <v>0.21</v>
      </c>
      <c r="X88" s="8">
        <v>0.25</v>
      </c>
    </row>
    <row r="89" spans="1:24" ht="14.4" x14ac:dyDescent="0.3">
      <c r="A89" s="27"/>
      <c r="B89" s="6" t="s">
        <v>67</v>
      </c>
      <c r="C89" s="7">
        <v>0.1</v>
      </c>
      <c r="D89" s="7">
        <v>0.11</v>
      </c>
      <c r="E89" s="7">
        <v>0.1</v>
      </c>
      <c r="F89" s="7">
        <v>0.11</v>
      </c>
      <c r="G89" s="7">
        <v>0.13</v>
      </c>
      <c r="H89" s="7">
        <v>0.13</v>
      </c>
      <c r="I89" s="7">
        <v>0.13</v>
      </c>
      <c r="J89" s="7">
        <v>0.14000000000000001</v>
      </c>
      <c r="K89" s="7">
        <v>0.16</v>
      </c>
      <c r="L89" s="7">
        <v>0.17</v>
      </c>
      <c r="M89" s="7">
        <v>0.18</v>
      </c>
      <c r="N89" s="7">
        <v>0.17</v>
      </c>
      <c r="O89" s="7">
        <v>0.16</v>
      </c>
      <c r="P89" s="7">
        <v>0.15</v>
      </c>
      <c r="Q89" s="7">
        <v>0.16</v>
      </c>
      <c r="R89" s="7">
        <v>0.18</v>
      </c>
      <c r="S89" s="7">
        <v>0.18</v>
      </c>
      <c r="T89" s="7">
        <v>0.19</v>
      </c>
      <c r="U89" s="7">
        <v>0.18</v>
      </c>
      <c r="V89" s="7">
        <v>0.21</v>
      </c>
      <c r="W89" s="7">
        <v>0.23</v>
      </c>
      <c r="X89" s="7">
        <v>0.23</v>
      </c>
    </row>
    <row r="90" spans="1:24" ht="14.4" x14ac:dyDescent="0.3">
      <c r="A90" s="27"/>
      <c r="B90" s="6" t="s">
        <v>68</v>
      </c>
      <c r="C90" s="8">
        <v>0.05</v>
      </c>
      <c r="D90" s="8">
        <v>0.04</v>
      </c>
      <c r="E90" s="8">
        <v>0.02</v>
      </c>
      <c r="F90" s="8">
        <v>0.05</v>
      </c>
      <c r="G90" s="8">
        <v>0.05</v>
      </c>
      <c r="H90" s="8">
        <v>0.04</v>
      </c>
      <c r="I90" s="8">
        <v>0.03</v>
      </c>
      <c r="J90" s="8">
        <v>0.06</v>
      </c>
      <c r="K90" s="8">
        <v>0.06</v>
      </c>
      <c r="L90" s="8">
        <v>0.06</v>
      </c>
      <c r="M90" s="8">
        <v>0.06</v>
      </c>
      <c r="N90" s="8">
        <v>0.05</v>
      </c>
      <c r="O90" s="8">
        <v>0.05</v>
      </c>
      <c r="P90" s="8">
        <v>0.05</v>
      </c>
      <c r="Q90" s="8">
        <v>7.0000000000000007E-2</v>
      </c>
      <c r="R90" s="8">
        <v>0.08</v>
      </c>
      <c r="S90" s="8">
        <v>0.1</v>
      </c>
      <c r="T90" s="8">
        <v>7.0000000000000007E-2</v>
      </c>
      <c r="U90" s="8">
        <v>7.0000000000000007E-2</v>
      </c>
      <c r="V90" s="8">
        <v>0.09</v>
      </c>
      <c r="W90" s="8">
        <v>0.1</v>
      </c>
      <c r="X90" s="8">
        <v>0.08</v>
      </c>
    </row>
    <row r="91" spans="1:24" ht="14.4" x14ac:dyDescent="0.3">
      <c r="A91" s="27"/>
      <c r="B91" s="6" t="s">
        <v>69</v>
      </c>
      <c r="C91" s="7">
        <v>0.02</v>
      </c>
      <c r="D91" s="7">
        <v>0.06</v>
      </c>
      <c r="E91" s="7">
        <v>0.04</v>
      </c>
      <c r="F91" s="7">
        <v>0.08</v>
      </c>
      <c r="G91" s="7">
        <v>0.19</v>
      </c>
      <c r="H91" s="7">
        <v>0.1</v>
      </c>
      <c r="I91" s="7">
        <v>0.08</v>
      </c>
      <c r="J91" s="7">
        <v>7.0000000000000007E-2</v>
      </c>
      <c r="K91" s="7">
        <v>0.12</v>
      </c>
      <c r="L91" s="7">
        <v>0.03</v>
      </c>
      <c r="M91" s="7">
        <v>0.04</v>
      </c>
      <c r="N91" s="7">
        <v>0.1</v>
      </c>
      <c r="O91" s="7">
        <v>0.1</v>
      </c>
      <c r="P91" s="7">
        <v>0.1</v>
      </c>
      <c r="Q91" s="7">
        <v>0.1</v>
      </c>
      <c r="R91" s="7">
        <v>0.1</v>
      </c>
      <c r="S91" s="7">
        <v>0.1</v>
      </c>
      <c r="T91" s="7">
        <v>0.1</v>
      </c>
      <c r="U91" s="7">
        <v>0.1</v>
      </c>
      <c r="V91" s="7">
        <v>0.1</v>
      </c>
      <c r="W91" s="7">
        <v>0</v>
      </c>
      <c r="X91" s="7">
        <v>0</v>
      </c>
    </row>
    <row r="92" spans="1:24" ht="14.4" x14ac:dyDescent="0.3">
      <c r="A92" s="27"/>
      <c r="B92" s="6" t="s">
        <v>70</v>
      </c>
      <c r="C92" s="8">
        <v>0.06</v>
      </c>
      <c r="D92" s="8">
        <v>7.0000000000000007E-2</v>
      </c>
      <c r="E92" s="8">
        <v>0.05</v>
      </c>
      <c r="F92" s="8">
        <v>0.08</v>
      </c>
      <c r="G92" s="8">
        <v>0.12</v>
      </c>
      <c r="H92" s="8">
        <v>0.09</v>
      </c>
      <c r="I92" s="8">
        <v>0.08</v>
      </c>
      <c r="J92" s="8">
        <v>0.09</v>
      </c>
      <c r="K92" s="8">
        <v>0.11</v>
      </c>
      <c r="L92" s="8">
        <v>0.09</v>
      </c>
      <c r="M92" s="8">
        <v>0.09</v>
      </c>
      <c r="N92" s="8">
        <v>0.11</v>
      </c>
      <c r="O92" s="8">
        <v>0.1</v>
      </c>
      <c r="P92" s="8">
        <v>0.1</v>
      </c>
      <c r="Q92" s="8">
        <v>0.11</v>
      </c>
      <c r="R92" s="8">
        <v>0.12</v>
      </c>
      <c r="S92" s="8">
        <v>0.13</v>
      </c>
      <c r="T92" s="8">
        <v>0.12</v>
      </c>
      <c r="U92" s="8">
        <v>0.11</v>
      </c>
      <c r="V92" s="8">
        <v>0.13</v>
      </c>
      <c r="W92" s="8">
        <v>0.11</v>
      </c>
      <c r="X92" s="8">
        <v>0.1</v>
      </c>
    </row>
    <row r="93" spans="1:24" ht="14.4" x14ac:dyDescent="0.3">
      <c r="A93" s="28" t="s">
        <v>21</v>
      </c>
      <c r="B93" s="6" t="s">
        <v>6</v>
      </c>
      <c r="C93" s="7">
        <v>0.09</v>
      </c>
      <c r="D93" s="7">
        <v>0.09</v>
      </c>
      <c r="E93" s="7">
        <v>0.09</v>
      </c>
      <c r="F93" s="7">
        <v>0.09</v>
      </c>
      <c r="G93" s="7">
        <v>0.09</v>
      </c>
      <c r="H93" s="7">
        <v>0.06</v>
      </c>
      <c r="I93" s="7">
        <v>0.06</v>
      </c>
      <c r="J93" s="7">
        <v>0.06</v>
      </c>
      <c r="K93" s="7">
        <v>0.06</v>
      </c>
      <c r="L93" s="7">
        <v>0.08</v>
      </c>
      <c r="M93" s="7">
        <v>0.08</v>
      </c>
      <c r="N93" s="7">
        <v>0.09</v>
      </c>
      <c r="O93" s="7">
        <v>0.1</v>
      </c>
      <c r="P93" s="7">
        <v>0.1</v>
      </c>
      <c r="Q93" s="7">
        <v>0.1</v>
      </c>
      <c r="R93" s="7">
        <v>0.1</v>
      </c>
      <c r="S93" s="7">
        <v>0.1</v>
      </c>
      <c r="T93" s="7">
        <v>0.1</v>
      </c>
      <c r="U93" s="7">
        <v>0.1</v>
      </c>
      <c r="V93" s="7">
        <v>0.1</v>
      </c>
      <c r="W93" s="7">
        <v>0.09</v>
      </c>
      <c r="X93" s="7">
        <v>0.1</v>
      </c>
    </row>
    <row r="94" spans="1:24" ht="14.4" x14ac:dyDescent="0.3">
      <c r="A94" s="27"/>
      <c r="B94" s="6" t="s">
        <v>63</v>
      </c>
      <c r="C94" s="8">
        <v>0.05</v>
      </c>
      <c r="D94" s="8">
        <v>0.04</v>
      </c>
      <c r="E94" s="8">
        <v>0.05</v>
      </c>
      <c r="F94" s="8">
        <v>0.05</v>
      </c>
      <c r="G94" s="8">
        <v>0.04</v>
      </c>
      <c r="H94" s="8">
        <v>0.04</v>
      </c>
      <c r="I94" s="8">
        <v>0.04</v>
      </c>
      <c r="J94" s="8">
        <v>0.04</v>
      </c>
      <c r="K94" s="8">
        <v>0.04</v>
      </c>
      <c r="L94" s="8">
        <v>0.04</v>
      </c>
      <c r="M94" s="8">
        <v>0.03</v>
      </c>
      <c r="N94" s="8">
        <v>0.04</v>
      </c>
      <c r="O94" s="8">
        <v>0.04</v>
      </c>
      <c r="P94" s="8">
        <v>0.04</v>
      </c>
      <c r="Q94" s="8">
        <v>0.04</v>
      </c>
      <c r="R94" s="8">
        <v>0.04</v>
      </c>
      <c r="S94" s="8">
        <v>0.04</v>
      </c>
      <c r="T94" s="8">
        <v>0.04</v>
      </c>
      <c r="U94" s="8">
        <v>0.04</v>
      </c>
      <c r="V94" s="8">
        <v>0.05</v>
      </c>
      <c r="W94" s="8">
        <v>0.05</v>
      </c>
      <c r="X94" s="8">
        <v>0.05</v>
      </c>
    </row>
    <row r="95" spans="1:24" ht="14.4" x14ac:dyDescent="0.3">
      <c r="A95" s="27"/>
      <c r="B95" s="6" t="s">
        <v>64</v>
      </c>
      <c r="C95" s="7">
        <v>0.03</v>
      </c>
      <c r="D95" s="7">
        <v>0.03</v>
      </c>
      <c r="E95" s="7">
        <v>0.04</v>
      </c>
      <c r="F95" s="7">
        <v>0.04</v>
      </c>
      <c r="G95" s="7">
        <v>0.03</v>
      </c>
      <c r="H95" s="7">
        <v>0.03</v>
      </c>
      <c r="I95" s="7">
        <v>0.03</v>
      </c>
      <c r="J95" s="7">
        <v>0.03</v>
      </c>
      <c r="K95" s="7">
        <v>0.03</v>
      </c>
      <c r="L95" s="7">
        <v>0.03</v>
      </c>
      <c r="M95" s="7">
        <v>0.03</v>
      </c>
      <c r="N95" s="7">
        <v>0.03</v>
      </c>
      <c r="O95" s="7">
        <v>0.04</v>
      </c>
      <c r="P95" s="7">
        <v>0.04</v>
      </c>
      <c r="Q95" s="7">
        <v>0.05</v>
      </c>
      <c r="R95" s="7">
        <v>0.04</v>
      </c>
      <c r="S95" s="7">
        <v>0.04</v>
      </c>
      <c r="T95" s="7">
        <v>0.04</v>
      </c>
      <c r="U95" s="7">
        <v>0.04</v>
      </c>
      <c r="V95" s="7">
        <v>0.04</v>
      </c>
      <c r="W95" s="7">
        <v>0.04</v>
      </c>
      <c r="X95" s="7">
        <v>0.04</v>
      </c>
    </row>
    <row r="96" spans="1:24" ht="14.4" x14ac:dyDescent="0.3">
      <c r="A96" s="27"/>
      <c r="B96" s="6" t="s">
        <v>65</v>
      </c>
      <c r="C96" s="8">
        <v>0.53</v>
      </c>
      <c r="D96" s="8">
        <v>0.53</v>
      </c>
      <c r="E96" s="8">
        <v>0.53</v>
      </c>
      <c r="F96" s="8">
        <v>0.53</v>
      </c>
      <c r="G96" s="8">
        <v>0.53</v>
      </c>
      <c r="H96" s="8">
        <v>0.32</v>
      </c>
      <c r="I96" s="8">
        <v>0.32</v>
      </c>
      <c r="J96" s="8">
        <v>0.32</v>
      </c>
      <c r="K96" s="8">
        <v>0.32</v>
      </c>
      <c r="L96" s="8">
        <v>0.44</v>
      </c>
      <c r="M96" s="8">
        <v>0.47</v>
      </c>
      <c r="N96" s="8">
        <v>0.56999999999999995</v>
      </c>
      <c r="O96" s="8">
        <v>0.6</v>
      </c>
      <c r="P96" s="8">
        <v>0.61</v>
      </c>
      <c r="Q96" s="8">
        <v>0.57999999999999996</v>
      </c>
      <c r="R96" s="8">
        <v>0.57999999999999996</v>
      </c>
      <c r="S96" s="8">
        <v>0.59</v>
      </c>
      <c r="T96" s="8">
        <v>0.57999999999999996</v>
      </c>
      <c r="U96" s="8">
        <v>0.59</v>
      </c>
      <c r="V96" s="8">
        <v>0.59</v>
      </c>
      <c r="W96" s="8">
        <v>0.51</v>
      </c>
      <c r="X96" s="8">
        <v>0.56999999999999995</v>
      </c>
    </row>
    <row r="97" spans="1:24" ht="14.4" x14ac:dyDescent="0.3">
      <c r="A97" s="27"/>
      <c r="B97" s="6" t="s">
        <v>66</v>
      </c>
      <c r="C97" s="7">
        <v>0.18</v>
      </c>
      <c r="D97" s="7">
        <v>0.18</v>
      </c>
      <c r="E97" s="7">
        <v>0.18</v>
      </c>
      <c r="F97" s="7">
        <v>0.18</v>
      </c>
      <c r="G97" s="7">
        <v>0.17</v>
      </c>
      <c r="H97" s="7">
        <v>0.12</v>
      </c>
      <c r="I97" s="7">
        <v>0.12</v>
      </c>
      <c r="J97" s="7">
        <v>0.12</v>
      </c>
      <c r="K97" s="7">
        <v>0.12</v>
      </c>
      <c r="L97" s="7">
        <v>0.15</v>
      </c>
      <c r="M97" s="7">
        <v>0.15</v>
      </c>
      <c r="N97" s="7">
        <v>0.18</v>
      </c>
      <c r="O97" s="7">
        <v>0.19</v>
      </c>
      <c r="P97" s="7">
        <v>0.2</v>
      </c>
      <c r="Q97" s="7">
        <v>0.19</v>
      </c>
      <c r="R97" s="7">
        <v>0.19</v>
      </c>
      <c r="S97" s="7">
        <v>0.19</v>
      </c>
      <c r="T97" s="7">
        <v>0.19</v>
      </c>
      <c r="U97" s="7">
        <v>0.2</v>
      </c>
      <c r="V97" s="7">
        <v>0.2</v>
      </c>
      <c r="W97" s="7">
        <v>0.17</v>
      </c>
      <c r="X97" s="7">
        <v>0.19</v>
      </c>
    </row>
    <row r="98" spans="1:24" ht="14.4" x14ac:dyDescent="0.3">
      <c r="A98" s="27"/>
      <c r="B98" s="6" t="s">
        <v>67</v>
      </c>
      <c r="C98" s="8">
        <v>0</v>
      </c>
      <c r="D98" s="8">
        <v>0</v>
      </c>
      <c r="E98" s="8">
        <v>0</v>
      </c>
      <c r="F98" s="8">
        <v>0</v>
      </c>
      <c r="G98" s="8">
        <v>0</v>
      </c>
      <c r="H98" s="8">
        <v>0</v>
      </c>
      <c r="I98" s="8">
        <v>0</v>
      </c>
      <c r="J98" s="8">
        <v>0</v>
      </c>
      <c r="K98" s="8">
        <v>0</v>
      </c>
      <c r="L98" s="8">
        <v>0</v>
      </c>
      <c r="M98" s="8">
        <v>0</v>
      </c>
      <c r="N98" s="8">
        <v>0</v>
      </c>
      <c r="O98" s="8">
        <v>0</v>
      </c>
      <c r="P98" s="8">
        <v>0</v>
      </c>
      <c r="Q98" s="8">
        <v>0</v>
      </c>
      <c r="R98" s="8">
        <v>0</v>
      </c>
      <c r="S98" s="8">
        <v>0</v>
      </c>
      <c r="T98" s="8">
        <v>0</v>
      </c>
      <c r="U98" s="8">
        <v>0</v>
      </c>
      <c r="V98" s="8">
        <v>0</v>
      </c>
      <c r="W98" s="8">
        <v>0</v>
      </c>
      <c r="X98" s="8">
        <v>0</v>
      </c>
    </row>
    <row r="99" spans="1:24" ht="14.4" x14ac:dyDescent="0.3">
      <c r="A99" s="27"/>
      <c r="B99" s="6" t="s">
        <v>68</v>
      </c>
      <c r="C99" s="7">
        <v>0</v>
      </c>
      <c r="D99" s="7">
        <v>0</v>
      </c>
      <c r="E99" s="7">
        <v>0</v>
      </c>
      <c r="F99" s="7">
        <v>0</v>
      </c>
      <c r="G99" s="7">
        <v>0</v>
      </c>
      <c r="H99" s="7">
        <v>0</v>
      </c>
      <c r="I99" s="7">
        <v>0</v>
      </c>
      <c r="J99" s="7">
        <v>0</v>
      </c>
      <c r="K99" s="7">
        <v>0</v>
      </c>
      <c r="L99" s="7">
        <v>0</v>
      </c>
      <c r="M99" s="7">
        <v>0</v>
      </c>
      <c r="N99" s="7">
        <v>0</v>
      </c>
      <c r="O99" s="7">
        <v>0</v>
      </c>
      <c r="P99" s="7">
        <v>0</v>
      </c>
      <c r="Q99" s="7">
        <v>0</v>
      </c>
      <c r="R99" s="7">
        <v>0</v>
      </c>
      <c r="S99" s="7">
        <v>0</v>
      </c>
      <c r="T99" s="7">
        <v>0</v>
      </c>
      <c r="U99" s="7">
        <v>0</v>
      </c>
      <c r="V99" s="7">
        <v>0</v>
      </c>
      <c r="W99" s="7">
        <v>0</v>
      </c>
      <c r="X99" s="7">
        <v>0</v>
      </c>
    </row>
    <row r="100" spans="1:24" ht="14.4" x14ac:dyDescent="0.3">
      <c r="A100" s="27"/>
      <c r="B100" s="6" t="s">
        <v>69</v>
      </c>
      <c r="C100" s="8">
        <v>0</v>
      </c>
      <c r="D100" s="8">
        <v>0</v>
      </c>
      <c r="E100" s="8">
        <v>0</v>
      </c>
      <c r="F100" s="8">
        <v>0</v>
      </c>
      <c r="G100" s="8">
        <v>0</v>
      </c>
      <c r="H100" s="8">
        <v>0</v>
      </c>
      <c r="I100" s="8">
        <v>0</v>
      </c>
      <c r="J100" s="8">
        <v>0</v>
      </c>
      <c r="K100" s="8">
        <v>0</v>
      </c>
      <c r="L100" s="8">
        <v>0</v>
      </c>
      <c r="M100" s="8">
        <v>0</v>
      </c>
      <c r="N100" s="8">
        <v>0</v>
      </c>
      <c r="O100" s="8">
        <v>0</v>
      </c>
      <c r="P100" s="8">
        <v>0</v>
      </c>
      <c r="Q100" s="8">
        <v>0</v>
      </c>
      <c r="R100" s="8">
        <v>0</v>
      </c>
      <c r="S100" s="8">
        <v>0</v>
      </c>
      <c r="T100" s="8">
        <v>0</v>
      </c>
      <c r="U100" s="8">
        <v>0</v>
      </c>
      <c r="V100" s="8">
        <v>0</v>
      </c>
      <c r="W100" s="8">
        <v>0</v>
      </c>
      <c r="X100" s="8">
        <v>0</v>
      </c>
    </row>
    <row r="101" spans="1:24" ht="14.4" x14ac:dyDescent="0.3">
      <c r="A101" s="27"/>
      <c r="B101" s="6" t="s">
        <v>70</v>
      </c>
      <c r="C101" s="7">
        <v>0</v>
      </c>
      <c r="D101" s="7">
        <v>0</v>
      </c>
      <c r="E101" s="7">
        <v>0</v>
      </c>
      <c r="F101" s="7">
        <v>0</v>
      </c>
      <c r="G101" s="7">
        <v>0</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row>
    <row r="102" spans="1:24" ht="14.4" x14ac:dyDescent="0.3">
      <c r="A102" s="28" t="s">
        <v>23</v>
      </c>
      <c r="B102" s="6" t="s">
        <v>6</v>
      </c>
      <c r="C102" s="8">
        <v>0.13</v>
      </c>
      <c r="D102" s="8">
        <v>0.15</v>
      </c>
      <c r="E102" s="8">
        <v>0.14000000000000001</v>
      </c>
      <c r="F102" s="8">
        <v>0.16</v>
      </c>
      <c r="G102" s="8">
        <v>0.15</v>
      </c>
      <c r="H102" s="8">
        <v>0.16</v>
      </c>
      <c r="I102" s="8">
        <v>0.18</v>
      </c>
      <c r="J102" s="8">
        <v>0.19</v>
      </c>
      <c r="K102" s="8">
        <v>0.2</v>
      </c>
      <c r="L102" s="8">
        <v>0.19</v>
      </c>
      <c r="M102" s="8">
        <v>0.18</v>
      </c>
      <c r="N102" s="8">
        <v>0.18</v>
      </c>
      <c r="O102" s="8">
        <v>0.2</v>
      </c>
      <c r="P102" s="8">
        <v>0.2</v>
      </c>
      <c r="Q102" s="8">
        <v>0.2</v>
      </c>
      <c r="R102" s="8">
        <v>0.2</v>
      </c>
      <c r="S102" s="8">
        <v>0.21</v>
      </c>
      <c r="T102" s="8">
        <v>0.21</v>
      </c>
      <c r="U102" s="8">
        <v>0.21</v>
      </c>
      <c r="V102" s="8">
        <v>0.21</v>
      </c>
      <c r="W102" s="8">
        <v>0.21</v>
      </c>
      <c r="X102" s="8">
        <v>0.21</v>
      </c>
    </row>
    <row r="103" spans="1:24" ht="14.4" x14ac:dyDescent="0.3">
      <c r="A103" s="27"/>
      <c r="B103" s="6" t="s">
        <v>63</v>
      </c>
      <c r="C103" s="7">
        <v>0.15</v>
      </c>
      <c r="D103" s="7">
        <v>0.18</v>
      </c>
      <c r="E103" s="7">
        <v>0.17</v>
      </c>
      <c r="F103" s="7">
        <v>0.2</v>
      </c>
      <c r="G103" s="7">
        <v>0.2</v>
      </c>
      <c r="H103" s="7">
        <v>0.21</v>
      </c>
      <c r="I103" s="7">
        <v>0.24</v>
      </c>
      <c r="J103" s="7">
        <v>0.3</v>
      </c>
      <c r="K103" s="7">
        <v>0.33</v>
      </c>
      <c r="L103" s="7">
        <v>0.32</v>
      </c>
      <c r="M103" s="7">
        <v>0.3</v>
      </c>
      <c r="N103" s="7">
        <v>0.32</v>
      </c>
      <c r="O103" s="7">
        <v>0.35</v>
      </c>
      <c r="P103" s="7">
        <v>0.35</v>
      </c>
      <c r="Q103" s="7">
        <v>0.35</v>
      </c>
      <c r="R103" s="7">
        <v>0.33</v>
      </c>
      <c r="S103" s="7">
        <v>0.33</v>
      </c>
      <c r="T103" s="7">
        <v>0.33</v>
      </c>
      <c r="U103" s="7">
        <v>0.33</v>
      </c>
      <c r="V103" s="7">
        <v>0.33</v>
      </c>
      <c r="W103" s="7">
        <v>0.3</v>
      </c>
      <c r="X103" s="7">
        <v>0.28999999999999998</v>
      </c>
    </row>
    <row r="104" spans="1:24" ht="14.4" x14ac:dyDescent="0.3">
      <c r="A104" s="27"/>
      <c r="B104" s="6" t="s">
        <v>64</v>
      </c>
      <c r="C104" s="8">
        <v>0.13</v>
      </c>
      <c r="D104" s="8">
        <v>0.13</v>
      </c>
      <c r="E104" s="8">
        <v>0.13</v>
      </c>
      <c r="F104" s="8">
        <v>0.13</v>
      </c>
      <c r="G104" s="8">
        <v>0.13</v>
      </c>
      <c r="H104" s="8">
        <v>0.13</v>
      </c>
      <c r="I104" s="8">
        <v>0.14000000000000001</v>
      </c>
      <c r="J104" s="8">
        <v>0.16</v>
      </c>
      <c r="K104" s="8">
        <v>0.16</v>
      </c>
      <c r="L104" s="8">
        <v>0.16</v>
      </c>
      <c r="M104" s="8">
        <v>0.15</v>
      </c>
      <c r="N104" s="8">
        <v>0.15</v>
      </c>
      <c r="O104" s="8">
        <v>0.16</v>
      </c>
      <c r="P104" s="8">
        <v>0.17</v>
      </c>
      <c r="Q104" s="8">
        <v>0.17</v>
      </c>
      <c r="R104" s="8">
        <v>0.16</v>
      </c>
      <c r="S104" s="8">
        <v>0.17</v>
      </c>
      <c r="T104" s="8">
        <v>0.16</v>
      </c>
      <c r="U104" s="8">
        <v>0.17</v>
      </c>
      <c r="V104" s="8">
        <v>0.17</v>
      </c>
      <c r="W104" s="8">
        <v>0.19</v>
      </c>
      <c r="X104" s="8">
        <v>0.18</v>
      </c>
    </row>
    <row r="105" spans="1:24" ht="14.4" x14ac:dyDescent="0.3">
      <c r="A105" s="27"/>
      <c r="B105" s="6" t="s">
        <v>65</v>
      </c>
      <c r="C105" s="7">
        <v>0.44</v>
      </c>
      <c r="D105" s="7">
        <v>0.52</v>
      </c>
      <c r="E105" s="7">
        <v>0.49</v>
      </c>
      <c r="F105" s="7">
        <v>0.54</v>
      </c>
      <c r="G105" s="7">
        <v>0.51</v>
      </c>
      <c r="H105" s="7">
        <v>0.53</v>
      </c>
      <c r="I105" s="7">
        <v>0.53</v>
      </c>
      <c r="J105" s="7">
        <v>0.55000000000000004</v>
      </c>
      <c r="K105" s="7">
        <v>0.53</v>
      </c>
      <c r="L105" s="7">
        <v>0.46</v>
      </c>
      <c r="M105" s="7">
        <v>0.46</v>
      </c>
      <c r="N105" s="7">
        <v>0.42</v>
      </c>
      <c r="O105" s="7">
        <v>0.46</v>
      </c>
      <c r="P105" s="7">
        <v>0.48</v>
      </c>
      <c r="Q105" s="7">
        <v>0.48</v>
      </c>
      <c r="R105" s="7">
        <v>0.49</v>
      </c>
      <c r="S105" s="7">
        <v>0.49</v>
      </c>
      <c r="T105" s="7">
        <v>0.48</v>
      </c>
      <c r="U105" s="7">
        <v>0.49</v>
      </c>
      <c r="V105" s="7">
        <v>0.5</v>
      </c>
      <c r="W105" s="7">
        <v>0.5</v>
      </c>
      <c r="X105" s="7">
        <v>0.51</v>
      </c>
    </row>
    <row r="106" spans="1:24" ht="14.4" x14ac:dyDescent="0.3">
      <c r="A106" s="27"/>
      <c r="B106" s="6" t="s">
        <v>66</v>
      </c>
      <c r="C106" s="8">
        <v>0.24</v>
      </c>
      <c r="D106" s="8">
        <v>0.27</v>
      </c>
      <c r="E106" s="8">
        <v>0.26</v>
      </c>
      <c r="F106" s="8">
        <v>0.28999999999999998</v>
      </c>
      <c r="G106" s="8">
        <v>0.28000000000000003</v>
      </c>
      <c r="H106" s="8">
        <v>0.28999999999999998</v>
      </c>
      <c r="I106" s="8">
        <v>0.31</v>
      </c>
      <c r="J106" s="8">
        <v>0.35</v>
      </c>
      <c r="K106" s="8">
        <v>0.35</v>
      </c>
      <c r="L106" s="8">
        <v>0.33</v>
      </c>
      <c r="M106" s="8">
        <v>0.32</v>
      </c>
      <c r="N106" s="8">
        <v>0.32</v>
      </c>
      <c r="O106" s="8">
        <v>0.34</v>
      </c>
      <c r="P106" s="8">
        <v>0.35</v>
      </c>
      <c r="Q106" s="8">
        <v>0.35</v>
      </c>
      <c r="R106" s="8">
        <v>0.34</v>
      </c>
      <c r="S106" s="8">
        <v>0.35</v>
      </c>
      <c r="T106" s="8">
        <v>0.34</v>
      </c>
      <c r="U106" s="8">
        <v>0.35</v>
      </c>
      <c r="V106" s="8">
        <v>0.35</v>
      </c>
      <c r="W106" s="8">
        <v>0.35</v>
      </c>
      <c r="X106" s="8">
        <v>0.34</v>
      </c>
    </row>
    <row r="107" spans="1:24" ht="14.4" x14ac:dyDescent="0.3">
      <c r="A107" s="27"/>
      <c r="B107" s="6" t="s">
        <v>67</v>
      </c>
      <c r="C107" s="7">
        <v>0.02</v>
      </c>
      <c r="D107" s="7">
        <v>0.02</v>
      </c>
      <c r="E107" s="7">
        <v>0.02</v>
      </c>
      <c r="F107" s="7">
        <v>0.02</v>
      </c>
      <c r="G107" s="7">
        <v>0.02</v>
      </c>
      <c r="H107" s="7">
        <v>0.02</v>
      </c>
      <c r="I107" s="7">
        <v>0.02</v>
      </c>
      <c r="J107" s="7">
        <v>0.02</v>
      </c>
      <c r="K107" s="7">
        <v>0.01</v>
      </c>
      <c r="L107" s="7">
        <v>0.03</v>
      </c>
      <c r="M107" s="7">
        <v>0.01</v>
      </c>
      <c r="N107" s="7">
        <v>0.01</v>
      </c>
      <c r="O107" s="7">
        <v>0.03</v>
      </c>
      <c r="P107" s="7">
        <v>0.01</v>
      </c>
      <c r="Q107" s="7">
        <v>0.01</v>
      </c>
      <c r="R107" s="7">
        <v>0.01</v>
      </c>
      <c r="S107" s="7">
        <v>0.01</v>
      </c>
      <c r="T107" s="7">
        <v>0.05</v>
      </c>
      <c r="U107" s="7">
        <v>0.01</v>
      </c>
      <c r="V107" s="7">
        <v>0.01</v>
      </c>
      <c r="W107" s="7">
        <v>0.01</v>
      </c>
      <c r="X107" s="7">
        <v>0.02</v>
      </c>
    </row>
    <row r="108" spans="1:24" ht="14.4" x14ac:dyDescent="0.3">
      <c r="A108" s="27"/>
      <c r="B108" s="6" t="s">
        <v>68</v>
      </c>
      <c r="C108" s="8">
        <v>0.02</v>
      </c>
      <c r="D108" s="8">
        <v>0.02</v>
      </c>
      <c r="E108" s="8">
        <v>0.02</v>
      </c>
      <c r="F108" s="8">
        <v>0.04</v>
      </c>
      <c r="G108" s="8">
        <v>0.04</v>
      </c>
      <c r="H108" s="8">
        <v>0.06</v>
      </c>
      <c r="I108" s="8">
        <v>7.0000000000000007E-2</v>
      </c>
      <c r="J108" s="8">
        <v>0.06</v>
      </c>
      <c r="K108" s="8">
        <v>0.06</v>
      </c>
      <c r="L108" s="8">
        <v>0.1</v>
      </c>
      <c r="M108" s="8">
        <v>0.1</v>
      </c>
      <c r="N108" s="8">
        <v>0.09</v>
      </c>
      <c r="O108" s="8">
        <v>0.09</v>
      </c>
      <c r="P108" s="8">
        <v>0.11</v>
      </c>
      <c r="Q108" s="8">
        <v>0.11</v>
      </c>
      <c r="R108" s="8">
        <v>0.13</v>
      </c>
      <c r="S108" s="8">
        <v>0.14000000000000001</v>
      </c>
      <c r="T108" s="8">
        <v>0.14000000000000001</v>
      </c>
      <c r="U108" s="8">
        <v>0.14000000000000001</v>
      </c>
      <c r="V108" s="8">
        <v>0.15</v>
      </c>
      <c r="W108" s="8">
        <v>0.18</v>
      </c>
      <c r="X108" s="8">
        <v>0.17</v>
      </c>
    </row>
    <row r="109" spans="1:24" ht="14.4" x14ac:dyDescent="0.3">
      <c r="A109" s="27"/>
      <c r="B109" s="6" t="s">
        <v>69</v>
      </c>
      <c r="C109" s="7">
        <v>0</v>
      </c>
      <c r="D109" s="7">
        <v>0</v>
      </c>
      <c r="E109" s="7">
        <v>0</v>
      </c>
      <c r="F109" s="7">
        <v>0</v>
      </c>
      <c r="G109" s="7">
        <v>0</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row>
    <row r="110" spans="1:24" ht="14.4" x14ac:dyDescent="0.3">
      <c r="A110" s="27"/>
      <c r="B110" s="6" t="s">
        <v>70</v>
      </c>
      <c r="C110" s="8">
        <v>0.01</v>
      </c>
      <c r="D110" s="8">
        <v>0.01</v>
      </c>
      <c r="E110" s="8">
        <v>0.01</v>
      </c>
      <c r="F110" s="8">
        <v>0.02</v>
      </c>
      <c r="G110" s="8">
        <v>0.02</v>
      </c>
      <c r="H110" s="8">
        <v>0.03</v>
      </c>
      <c r="I110" s="8">
        <v>0.03</v>
      </c>
      <c r="J110" s="8">
        <v>0.03</v>
      </c>
      <c r="K110" s="8">
        <v>0.03</v>
      </c>
      <c r="L110" s="8">
        <v>0.05</v>
      </c>
      <c r="M110" s="8">
        <v>0.04</v>
      </c>
      <c r="N110" s="8">
        <v>0.04</v>
      </c>
      <c r="O110" s="8">
        <v>0.04</v>
      </c>
      <c r="P110" s="8">
        <v>0.05</v>
      </c>
      <c r="Q110" s="8">
        <v>0.05</v>
      </c>
      <c r="R110" s="8">
        <v>0.05</v>
      </c>
      <c r="S110" s="8">
        <v>0.06</v>
      </c>
      <c r="T110" s="8">
        <v>7.0000000000000007E-2</v>
      </c>
      <c r="U110" s="8">
        <v>0.06</v>
      </c>
      <c r="V110" s="8">
        <v>0.06</v>
      </c>
      <c r="W110" s="8">
        <v>7.0000000000000007E-2</v>
      </c>
      <c r="X110" s="8">
        <v>7.0000000000000007E-2</v>
      </c>
    </row>
    <row r="111" spans="1:24" ht="14.4" x14ac:dyDescent="0.3">
      <c r="A111" s="28" t="s">
        <v>25</v>
      </c>
      <c r="B111" s="6" t="s">
        <v>6</v>
      </c>
      <c r="C111" s="7">
        <v>0.44</v>
      </c>
      <c r="D111" s="7">
        <v>0.42</v>
      </c>
      <c r="E111" s="7">
        <v>0.43</v>
      </c>
      <c r="F111" s="7">
        <v>0.43</v>
      </c>
      <c r="G111" s="7">
        <v>0.45</v>
      </c>
      <c r="H111" s="7">
        <v>0.45</v>
      </c>
      <c r="I111" s="7">
        <v>0.47</v>
      </c>
      <c r="J111" s="7">
        <v>0.45</v>
      </c>
      <c r="K111" s="7">
        <v>0.48</v>
      </c>
      <c r="L111" s="7">
        <v>0.51</v>
      </c>
      <c r="M111" s="7">
        <v>0.48</v>
      </c>
      <c r="N111" s="7">
        <v>0.44</v>
      </c>
      <c r="O111" s="7">
        <v>0.42</v>
      </c>
      <c r="P111" s="7">
        <v>0.42</v>
      </c>
      <c r="Q111" s="7">
        <v>0.44</v>
      </c>
      <c r="R111" s="7">
        <v>0.44</v>
      </c>
      <c r="S111" s="7">
        <v>0.45</v>
      </c>
      <c r="T111" s="7">
        <v>0.46</v>
      </c>
      <c r="U111" s="7">
        <v>0.47</v>
      </c>
      <c r="V111" s="7">
        <v>0.47</v>
      </c>
      <c r="W111" s="7">
        <v>0.54</v>
      </c>
      <c r="X111" s="7">
        <v>0.53</v>
      </c>
    </row>
    <row r="112" spans="1:24" ht="14.4" x14ac:dyDescent="0.3">
      <c r="A112" s="27"/>
      <c r="B112" s="6" t="s">
        <v>63</v>
      </c>
      <c r="C112" s="8">
        <v>0.1</v>
      </c>
      <c r="D112" s="8">
        <v>0.1</v>
      </c>
      <c r="E112" s="8">
        <v>0.11</v>
      </c>
      <c r="F112" s="8">
        <v>0.11</v>
      </c>
      <c r="G112" s="8">
        <v>0.12</v>
      </c>
      <c r="H112" s="8">
        <v>0.11</v>
      </c>
      <c r="I112" s="8">
        <v>0.12</v>
      </c>
      <c r="J112" s="8">
        <v>0.12</v>
      </c>
      <c r="K112" s="8">
        <v>0.13</v>
      </c>
      <c r="L112" s="8">
        <v>0.14000000000000001</v>
      </c>
      <c r="M112" s="8">
        <v>0.15</v>
      </c>
      <c r="N112" s="8">
        <v>0.16</v>
      </c>
      <c r="O112" s="8">
        <v>0.18</v>
      </c>
      <c r="P112" s="8">
        <v>0.2</v>
      </c>
      <c r="Q112" s="8">
        <v>0.23</v>
      </c>
      <c r="R112" s="8">
        <v>0.25</v>
      </c>
      <c r="S112" s="8">
        <v>0.26</v>
      </c>
      <c r="T112" s="8">
        <v>0.27</v>
      </c>
      <c r="U112" s="8">
        <v>0.27</v>
      </c>
      <c r="V112" s="8">
        <v>0.26</v>
      </c>
      <c r="W112" s="8">
        <v>0.27</v>
      </c>
      <c r="X112" s="8">
        <v>0.27</v>
      </c>
    </row>
    <row r="113" spans="1:24" ht="14.4" x14ac:dyDescent="0.3">
      <c r="A113" s="27"/>
      <c r="B113" s="6" t="s">
        <v>64</v>
      </c>
      <c r="C113" s="7">
        <v>0.18</v>
      </c>
      <c r="D113" s="7">
        <v>0.19</v>
      </c>
      <c r="E113" s="7">
        <v>0.2</v>
      </c>
      <c r="F113" s="7">
        <v>0.21</v>
      </c>
      <c r="G113" s="7">
        <v>0.22</v>
      </c>
      <c r="H113" s="7">
        <v>0.25</v>
      </c>
      <c r="I113" s="7">
        <v>0.31</v>
      </c>
      <c r="J113" s="7">
        <v>0.35</v>
      </c>
      <c r="K113" s="7">
        <v>0.32</v>
      </c>
      <c r="L113" s="7">
        <v>0.36</v>
      </c>
      <c r="M113" s="7">
        <v>0.33</v>
      </c>
      <c r="N113" s="7">
        <v>0.3</v>
      </c>
      <c r="O113" s="7">
        <v>0.3</v>
      </c>
      <c r="P113" s="7">
        <v>0.28999999999999998</v>
      </c>
      <c r="Q113" s="7">
        <v>0.28999999999999998</v>
      </c>
      <c r="R113" s="7">
        <v>0.3</v>
      </c>
      <c r="S113" s="7">
        <v>0.35</v>
      </c>
      <c r="T113" s="7">
        <v>0.36</v>
      </c>
      <c r="U113" s="7">
        <v>0.32</v>
      </c>
      <c r="V113" s="7">
        <v>0.35</v>
      </c>
      <c r="W113" s="7">
        <v>0.4</v>
      </c>
      <c r="X113" s="7">
        <v>0.39</v>
      </c>
    </row>
    <row r="114" spans="1:24" ht="14.4" x14ac:dyDescent="0.3">
      <c r="A114" s="27"/>
      <c r="B114" s="6" t="s">
        <v>65</v>
      </c>
      <c r="C114" s="8">
        <v>0.63</v>
      </c>
      <c r="D114" s="8">
        <v>0.65</v>
      </c>
      <c r="E114" s="8">
        <v>0.66</v>
      </c>
      <c r="F114" s="8">
        <v>0.67</v>
      </c>
      <c r="G114" s="8">
        <v>0.67</v>
      </c>
      <c r="H114" s="8">
        <v>0.67</v>
      </c>
      <c r="I114" s="8">
        <v>0.68</v>
      </c>
      <c r="J114" s="8">
        <v>0.68</v>
      </c>
      <c r="K114" s="8">
        <v>0.68</v>
      </c>
      <c r="L114" s="8">
        <v>0.68</v>
      </c>
      <c r="M114" s="8">
        <v>0.69</v>
      </c>
      <c r="N114" s="8">
        <v>0.7</v>
      </c>
      <c r="O114" s="8">
        <v>0.7</v>
      </c>
      <c r="P114" s="8">
        <v>0.68</v>
      </c>
      <c r="Q114" s="8">
        <v>0.68</v>
      </c>
      <c r="R114" s="8">
        <v>0.65</v>
      </c>
      <c r="S114" s="8">
        <v>0.64</v>
      </c>
      <c r="T114" s="8">
        <v>0.6</v>
      </c>
      <c r="U114" s="8">
        <v>0.62</v>
      </c>
      <c r="V114" s="8">
        <v>0.63</v>
      </c>
      <c r="W114" s="8">
        <v>0.64</v>
      </c>
      <c r="X114" s="8">
        <v>0.67</v>
      </c>
    </row>
    <row r="115" spans="1:24" ht="14.4" x14ac:dyDescent="0.3">
      <c r="A115" s="27"/>
      <c r="B115" s="6" t="s">
        <v>66</v>
      </c>
      <c r="C115" s="7">
        <v>0.28999999999999998</v>
      </c>
      <c r="D115" s="7">
        <v>0.3</v>
      </c>
      <c r="E115" s="7">
        <v>0.31</v>
      </c>
      <c r="F115" s="7">
        <v>0.32</v>
      </c>
      <c r="G115" s="7">
        <v>0.33</v>
      </c>
      <c r="H115" s="7">
        <v>0.34</v>
      </c>
      <c r="I115" s="7">
        <v>0.37</v>
      </c>
      <c r="J115" s="7">
        <v>0.39</v>
      </c>
      <c r="K115" s="7">
        <v>0.38</v>
      </c>
      <c r="L115" s="7">
        <v>0.4</v>
      </c>
      <c r="M115" s="7">
        <v>0.39</v>
      </c>
      <c r="N115" s="7">
        <v>0.39</v>
      </c>
      <c r="O115" s="7">
        <v>0.39</v>
      </c>
      <c r="P115" s="7">
        <v>0.4</v>
      </c>
      <c r="Q115" s="7">
        <v>0.41</v>
      </c>
      <c r="R115" s="7">
        <v>0.41</v>
      </c>
      <c r="S115" s="7">
        <v>0.44</v>
      </c>
      <c r="T115" s="7">
        <v>0.44</v>
      </c>
      <c r="U115" s="7">
        <v>0.42</v>
      </c>
      <c r="V115" s="7">
        <v>0.44</v>
      </c>
      <c r="W115" s="7">
        <v>0.46</v>
      </c>
      <c r="X115" s="7">
        <v>0.46</v>
      </c>
    </row>
    <row r="116" spans="1:24" ht="14.4" x14ac:dyDescent="0.3">
      <c r="A116" s="27"/>
      <c r="B116" s="6" t="s">
        <v>67</v>
      </c>
      <c r="C116" s="8">
        <v>0.28999999999999998</v>
      </c>
      <c r="D116" s="8">
        <v>0.27</v>
      </c>
      <c r="E116" s="8">
        <v>0.32</v>
      </c>
      <c r="F116" s="8">
        <v>0.26</v>
      </c>
      <c r="G116" s="8">
        <v>0.25</v>
      </c>
      <c r="H116" s="8">
        <v>0.24</v>
      </c>
      <c r="I116" s="8">
        <v>0.23</v>
      </c>
      <c r="J116" s="8">
        <v>0.16</v>
      </c>
      <c r="K116" s="8">
        <v>0.18</v>
      </c>
      <c r="L116" s="8">
        <v>0.21</v>
      </c>
      <c r="M116" s="8">
        <v>0.2</v>
      </c>
      <c r="N116" s="8">
        <v>0.22</v>
      </c>
      <c r="O116" s="8">
        <v>0.2</v>
      </c>
      <c r="P116" s="8">
        <v>0.22</v>
      </c>
      <c r="Q116" s="8">
        <v>0.2</v>
      </c>
      <c r="R116" s="8">
        <v>0.19</v>
      </c>
      <c r="S116" s="8">
        <v>0.18</v>
      </c>
      <c r="T116" s="8">
        <v>0.19</v>
      </c>
      <c r="U116" s="8">
        <v>0.2</v>
      </c>
      <c r="V116" s="8">
        <v>0.2</v>
      </c>
      <c r="W116" s="8">
        <v>0.2</v>
      </c>
      <c r="X116" s="8">
        <v>0.2</v>
      </c>
    </row>
    <row r="117" spans="1:24" ht="14.4" x14ac:dyDescent="0.3">
      <c r="A117" s="27"/>
      <c r="B117" s="6" t="s">
        <v>68</v>
      </c>
      <c r="C117" s="7">
        <v>0.4</v>
      </c>
      <c r="D117" s="7">
        <v>0.32</v>
      </c>
      <c r="E117" s="7">
        <v>0.28000000000000003</v>
      </c>
      <c r="F117" s="7">
        <v>0.35</v>
      </c>
      <c r="G117" s="7">
        <v>0.4</v>
      </c>
      <c r="H117" s="7">
        <v>0.47</v>
      </c>
      <c r="I117" s="7">
        <v>0.54</v>
      </c>
      <c r="J117" s="7">
        <v>0.59</v>
      </c>
      <c r="K117" s="7">
        <v>0.5</v>
      </c>
      <c r="L117" s="7">
        <v>0.61</v>
      </c>
      <c r="M117" s="7">
        <v>0.64</v>
      </c>
      <c r="N117" s="7">
        <v>0.48</v>
      </c>
      <c r="O117" s="7">
        <v>0.5</v>
      </c>
      <c r="P117" s="7">
        <v>0.48</v>
      </c>
      <c r="Q117" s="7">
        <v>0.55000000000000004</v>
      </c>
      <c r="R117" s="7">
        <v>0.55000000000000004</v>
      </c>
      <c r="S117" s="7">
        <v>0.52</v>
      </c>
      <c r="T117" s="7">
        <v>0.59</v>
      </c>
      <c r="U117" s="7">
        <v>0.55000000000000004</v>
      </c>
      <c r="V117" s="7">
        <v>0.52</v>
      </c>
      <c r="W117" s="7">
        <v>0.63</v>
      </c>
      <c r="X117" s="7">
        <v>0.6</v>
      </c>
    </row>
    <row r="118" spans="1:24" ht="14.4" x14ac:dyDescent="0.3">
      <c r="A118" s="27"/>
      <c r="B118" s="6" t="s">
        <v>69</v>
      </c>
      <c r="C118" s="8">
        <v>1</v>
      </c>
      <c r="D118" s="8">
        <v>1</v>
      </c>
      <c r="E118" s="8">
        <v>1</v>
      </c>
      <c r="F118" s="8">
        <v>1</v>
      </c>
      <c r="G118" s="8">
        <v>1</v>
      </c>
      <c r="H118" s="8">
        <v>0.94</v>
      </c>
      <c r="I118" s="8">
        <v>0.88</v>
      </c>
      <c r="J118" s="8">
        <v>0.69</v>
      </c>
      <c r="K118" s="8">
        <v>1</v>
      </c>
      <c r="L118" s="8">
        <v>0.95</v>
      </c>
      <c r="M118" s="8">
        <v>0.74</v>
      </c>
      <c r="N118" s="8">
        <v>0.73</v>
      </c>
      <c r="O118" s="8">
        <v>0.56999999999999995</v>
      </c>
      <c r="P118" s="8">
        <v>0.56000000000000005</v>
      </c>
      <c r="Q118" s="8">
        <v>0.56000000000000005</v>
      </c>
      <c r="R118" s="8">
        <v>0.56999999999999995</v>
      </c>
      <c r="S118" s="8">
        <v>0.56999999999999995</v>
      </c>
      <c r="T118" s="8">
        <v>0.57999999999999996</v>
      </c>
      <c r="U118" s="8">
        <v>0.7</v>
      </c>
      <c r="V118" s="8">
        <v>0.69</v>
      </c>
      <c r="W118" s="8">
        <v>0.93</v>
      </c>
      <c r="X118" s="8">
        <v>0.93</v>
      </c>
    </row>
    <row r="119" spans="1:24" ht="14.4" x14ac:dyDescent="0.3">
      <c r="A119" s="27"/>
      <c r="B119" s="6" t="s">
        <v>70</v>
      </c>
      <c r="C119" s="7">
        <v>0.56000000000000005</v>
      </c>
      <c r="D119" s="7">
        <v>0.53</v>
      </c>
      <c r="E119" s="7">
        <v>0.52</v>
      </c>
      <c r="F119" s="7">
        <v>0.53</v>
      </c>
      <c r="G119" s="7">
        <v>0.55000000000000004</v>
      </c>
      <c r="H119" s="7">
        <v>0.55000000000000004</v>
      </c>
      <c r="I119" s="7">
        <v>0.56000000000000005</v>
      </c>
      <c r="J119" s="7">
        <v>0.49</v>
      </c>
      <c r="K119" s="7">
        <v>0.56999999999999995</v>
      </c>
      <c r="L119" s="7">
        <v>0.6</v>
      </c>
      <c r="M119" s="7">
        <v>0.54</v>
      </c>
      <c r="N119" s="7">
        <v>0.48</v>
      </c>
      <c r="O119" s="7">
        <v>0.43</v>
      </c>
      <c r="P119" s="7">
        <v>0.43</v>
      </c>
      <c r="Q119" s="7">
        <v>0.45</v>
      </c>
      <c r="R119" s="7">
        <v>0.45</v>
      </c>
      <c r="S119" s="7">
        <v>0.43</v>
      </c>
      <c r="T119" s="7">
        <v>0.47</v>
      </c>
      <c r="U119" s="7">
        <v>0.49</v>
      </c>
      <c r="V119" s="7">
        <v>0.48</v>
      </c>
      <c r="W119" s="7">
        <v>0.59</v>
      </c>
      <c r="X119" s="7">
        <v>0.57999999999999996</v>
      </c>
    </row>
    <row r="120" spans="1:24" ht="14.4" x14ac:dyDescent="0.3">
      <c r="A120" s="28" t="s">
        <v>27</v>
      </c>
      <c r="B120" s="6" t="s">
        <v>6</v>
      </c>
      <c r="C120" s="8">
        <v>0.53</v>
      </c>
      <c r="D120" s="8">
        <v>0.53</v>
      </c>
      <c r="E120" s="8">
        <v>0.53</v>
      </c>
      <c r="F120" s="8">
        <v>0.52</v>
      </c>
      <c r="G120" s="8">
        <v>0.53</v>
      </c>
      <c r="H120" s="8">
        <v>0.54</v>
      </c>
      <c r="I120" s="8">
        <v>0.5</v>
      </c>
      <c r="J120" s="8">
        <v>0.51</v>
      </c>
      <c r="K120" s="8">
        <v>0.57999999999999996</v>
      </c>
      <c r="L120" s="8">
        <v>0.5</v>
      </c>
      <c r="M120" s="8">
        <v>0.46</v>
      </c>
      <c r="N120" s="8">
        <v>0.42</v>
      </c>
      <c r="O120" s="8">
        <v>0.4</v>
      </c>
      <c r="P120" s="8">
        <v>0.39</v>
      </c>
      <c r="Q120" s="8">
        <v>0.37</v>
      </c>
      <c r="R120" s="8">
        <v>0.37</v>
      </c>
      <c r="S120" s="8">
        <v>0.37</v>
      </c>
      <c r="T120" s="8">
        <v>0.37</v>
      </c>
      <c r="U120" s="8">
        <v>0.38</v>
      </c>
      <c r="V120" s="8">
        <v>0.36</v>
      </c>
      <c r="W120" s="8">
        <v>0.35</v>
      </c>
      <c r="X120" s="8">
        <v>0.36</v>
      </c>
    </row>
    <row r="121" spans="1:24" ht="14.4" x14ac:dyDescent="0.3">
      <c r="A121" s="27"/>
      <c r="B121" s="6" t="s">
        <v>63</v>
      </c>
      <c r="C121" s="7">
        <v>0.28000000000000003</v>
      </c>
      <c r="D121" s="7">
        <v>0.3</v>
      </c>
      <c r="E121" s="7">
        <v>0.31</v>
      </c>
      <c r="F121" s="7">
        <v>0.3</v>
      </c>
      <c r="G121" s="7">
        <v>0.31</v>
      </c>
      <c r="H121" s="7">
        <v>0.3</v>
      </c>
      <c r="I121" s="7">
        <v>0.28999999999999998</v>
      </c>
      <c r="J121" s="7">
        <v>0.28999999999999998</v>
      </c>
      <c r="K121" s="7">
        <v>0.3</v>
      </c>
      <c r="L121" s="7">
        <v>0.3</v>
      </c>
      <c r="M121" s="7">
        <v>0.31</v>
      </c>
      <c r="N121" s="7">
        <v>0.3</v>
      </c>
      <c r="O121" s="7">
        <v>0.3</v>
      </c>
      <c r="P121" s="7">
        <v>0.28999999999999998</v>
      </c>
      <c r="Q121" s="7">
        <v>0.28999999999999998</v>
      </c>
      <c r="R121" s="7">
        <v>0.28000000000000003</v>
      </c>
      <c r="S121" s="7">
        <v>0.28999999999999998</v>
      </c>
      <c r="T121" s="7">
        <v>0.28999999999999998</v>
      </c>
      <c r="U121" s="7">
        <v>0.3</v>
      </c>
      <c r="V121" s="7">
        <v>0.28000000000000003</v>
      </c>
      <c r="W121" s="7">
        <v>0.3</v>
      </c>
      <c r="X121" s="7">
        <v>0.3</v>
      </c>
    </row>
    <row r="122" spans="1:24" ht="14.4" x14ac:dyDescent="0.3">
      <c r="A122" s="27"/>
      <c r="B122" s="6" t="s">
        <v>64</v>
      </c>
      <c r="C122" s="8">
        <v>0.28000000000000003</v>
      </c>
      <c r="D122" s="8">
        <v>0.28999999999999998</v>
      </c>
      <c r="E122" s="8">
        <v>0.3</v>
      </c>
      <c r="F122" s="8">
        <v>0.31</v>
      </c>
      <c r="G122" s="8">
        <v>0.34</v>
      </c>
      <c r="H122" s="8">
        <v>0.45</v>
      </c>
      <c r="I122" s="8">
        <v>0.39</v>
      </c>
      <c r="J122" s="8">
        <v>0.39</v>
      </c>
      <c r="K122" s="8">
        <v>0.36</v>
      </c>
      <c r="L122" s="8">
        <v>0.35</v>
      </c>
      <c r="M122" s="8">
        <v>0.35</v>
      </c>
      <c r="N122" s="8">
        <v>0.34</v>
      </c>
      <c r="O122" s="8">
        <v>0.34</v>
      </c>
      <c r="P122" s="8">
        <v>0.34</v>
      </c>
      <c r="Q122" s="8">
        <v>0.33</v>
      </c>
      <c r="R122" s="8">
        <v>0.33</v>
      </c>
      <c r="S122" s="8">
        <v>0.34</v>
      </c>
      <c r="T122" s="8">
        <v>0.35</v>
      </c>
      <c r="U122" s="8">
        <v>0.35</v>
      </c>
      <c r="V122" s="8">
        <v>0.35</v>
      </c>
      <c r="W122" s="8">
        <v>0.36</v>
      </c>
      <c r="X122" s="8">
        <v>0.36</v>
      </c>
    </row>
    <row r="123" spans="1:24" ht="14.4" x14ac:dyDescent="0.3">
      <c r="A123" s="27"/>
      <c r="B123" s="6" t="s">
        <v>65</v>
      </c>
      <c r="C123" s="7">
        <v>0.68</v>
      </c>
      <c r="D123" s="7">
        <v>0.68</v>
      </c>
      <c r="E123" s="7">
        <v>0.67</v>
      </c>
      <c r="F123" s="7">
        <v>0.65</v>
      </c>
      <c r="G123" s="7">
        <v>0.66</v>
      </c>
      <c r="H123" s="7">
        <v>0.67</v>
      </c>
      <c r="I123" s="7">
        <v>0.7</v>
      </c>
      <c r="J123" s="7">
        <v>0.71</v>
      </c>
      <c r="K123" s="7">
        <v>0.71</v>
      </c>
      <c r="L123" s="7">
        <v>0.67</v>
      </c>
      <c r="M123" s="7">
        <v>0.64</v>
      </c>
      <c r="N123" s="7">
        <v>0.66</v>
      </c>
      <c r="O123" s="7">
        <v>0.67</v>
      </c>
      <c r="P123" s="7">
        <v>0.69</v>
      </c>
      <c r="Q123" s="7">
        <v>0.65</v>
      </c>
      <c r="R123" s="7">
        <v>0.62</v>
      </c>
      <c r="S123" s="7">
        <v>0.65</v>
      </c>
      <c r="T123" s="7">
        <v>0.65</v>
      </c>
      <c r="U123" s="7">
        <v>0.72</v>
      </c>
      <c r="V123" s="7">
        <v>0.7</v>
      </c>
      <c r="W123" s="7">
        <v>0.64</v>
      </c>
      <c r="X123" s="7">
        <v>0.66</v>
      </c>
    </row>
    <row r="124" spans="1:24" ht="14.4" x14ac:dyDescent="0.3">
      <c r="A124" s="27"/>
      <c r="B124" s="6" t="s">
        <v>66</v>
      </c>
      <c r="C124" s="8">
        <v>0.42</v>
      </c>
      <c r="D124" s="8">
        <v>0.44</v>
      </c>
      <c r="E124" s="8">
        <v>0.44</v>
      </c>
      <c r="F124" s="8">
        <v>0.44</v>
      </c>
      <c r="G124" s="8">
        <v>0.46</v>
      </c>
      <c r="H124" s="8">
        <v>0.51</v>
      </c>
      <c r="I124" s="8">
        <v>0.48</v>
      </c>
      <c r="J124" s="8">
        <v>0.49</v>
      </c>
      <c r="K124" s="8">
        <v>0.48</v>
      </c>
      <c r="L124" s="8">
        <v>0.46</v>
      </c>
      <c r="M124" s="8">
        <v>0.45</v>
      </c>
      <c r="N124" s="8">
        <v>0.46</v>
      </c>
      <c r="O124" s="8">
        <v>0.46</v>
      </c>
      <c r="P124" s="8">
        <v>0.46</v>
      </c>
      <c r="Q124" s="8">
        <v>0.44</v>
      </c>
      <c r="R124" s="8">
        <v>0.43</v>
      </c>
      <c r="S124" s="8">
        <v>0.45</v>
      </c>
      <c r="T124" s="8">
        <v>0.45</v>
      </c>
      <c r="U124" s="8">
        <v>0.47</v>
      </c>
      <c r="V124" s="8">
        <v>0.46</v>
      </c>
      <c r="W124" s="8">
        <v>0.46</v>
      </c>
      <c r="X124" s="8">
        <v>0.46</v>
      </c>
    </row>
    <row r="125" spans="1:24" ht="14.4" x14ac:dyDescent="0.3">
      <c r="A125" s="27"/>
      <c r="B125" s="6" t="s">
        <v>67</v>
      </c>
      <c r="C125" s="7">
        <v>0.52</v>
      </c>
      <c r="D125" s="7">
        <v>0.52</v>
      </c>
      <c r="E125" s="7">
        <v>0.52</v>
      </c>
      <c r="F125" s="7">
        <v>0.52</v>
      </c>
      <c r="G125" s="7">
        <v>0.52</v>
      </c>
      <c r="H125" s="7">
        <v>0.52</v>
      </c>
      <c r="I125" s="7">
        <v>0.46</v>
      </c>
      <c r="J125" s="7">
        <v>0.48</v>
      </c>
      <c r="K125" s="7">
        <v>0.48</v>
      </c>
      <c r="L125" s="7">
        <v>0.48</v>
      </c>
      <c r="M125" s="7">
        <v>0.48</v>
      </c>
      <c r="N125" s="7">
        <v>0.49</v>
      </c>
      <c r="O125" s="7">
        <v>0.5</v>
      </c>
      <c r="P125" s="7">
        <v>0.46</v>
      </c>
      <c r="Q125" s="7">
        <v>0.43</v>
      </c>
      <c r="R125" s="7">
        <v>0.45</v>
      </c>
      <c r="S125" s="7">
        <v>0.45</v>
      </c>
      <c r="T125" s="7">
        <v>0.47</v>
      </c>
      <c r="U125" s="7">
        <v>0.45</v>
      </c>
      <c r="V125" s="7">
        <v>0.46</v>
      </c>
      <c r="W125" s="7">
        <v>0.44</v>
      </c>
      <c r="X125" s="7">
        <v>0.47</v>
      </c>
    </row>
    <row r="126" spans="1:24" ht="14.4" x14ac:dyDescent="0.3">
      <c r="A126" s="27"/>
      <c r="B126" s="6" t="s">
        <v>68</v>
      </c>
      <c r="C126" s="8">
        <v>0.55000000000000004</v>
      </c>
      <c r="D126" s="8">
        <v>0.54</v>
      </c>
      <c r="E126" s="8">
        <v>0.53</v>
      </c>
      <c r="F126" s="8">
        <v>0.52</v>
      </c>
      <c r="G126" s="8">
        <v>0.52</v>
      </c>
      <c r="H126" s="8">
        <v>0.52</v>
      </c>
      <c r="I126" s="8">
        <v>0.52</v>
      </c>
      <c r="J126" s="8">
        <v>0.54</v>
      </c>
      <c r="K126" s="8">
        <v>0.57999999999999996</v>
      </c>
      <c r="L126" s="8">
        <v>0.56000000000000005</v>
      </c>
      <c r="M126" s="8">
        <v>0.48</v>
      </c>
      <c r="N126" s="8">
        <v>0.38</v>
      </c>
      <c r="O126" s="8">
        <v>0.33</v>
      </c>
      <c r="P126" s="8">
        <v>0.28999999999999998</v>
      </c>
      <c r="Q126" s="8">
        <v>0.27</v>
      </c>
      <c r="R126" s="8">
        <v>0.25</v>
      </c>
      <c r="S126" s="8">
        <v>0.23</v>
      </c>
      <c r="T126" s="8">
        <v>0.22</v>
      </c>
      <c r="U126" s="8">
        <v>0.21</v>
      </c>
      <c r="V126" s="8">
        <v>0.18</v>
      </c>
      <c r="W126" s="8">
        <v>0.16</v>
      </c>
      <c r="X126" s="8">
        <v>0.16</v>
      </c>
    </row>
    <row r="127" spans="1:24" ht="14.4" x14ac:dyDescent="0.3">
      <c r="A127" s="27"/>
      <c r="B127" s="6" t="s">
        <v>69</v>
      </c>
      <c r="C127" s="7">
        <v>0.75</v>
      </c>
      <c r="D127" s="7">
        <v>0.75</v>
      </c>
      <c r="E127" s="7">
        <v>0.71</v>
      </c>
      <c r="F127" s="7">
        <v>0.66</v>
      </c>
      <c r="G127" s="7">
        <v>0.66</v>
      </c>
      <c r="H127" s="7">
        <v>0.62</v>
      </c>
      <c r="I127" s="7">
        <v>0.52</v>
      </c>
      <c r="J127" s="7">
        <v>0.53</v>
      </c>
      <c r="K127" s="7">
        <v>0.94</v>
      </c>
      <c r="L127" s="7">
        <v>0.5</v>
      </c>
      <c r="M127" s="7">
        <v>0.34</v>
      </c>
      <c r="N127" s="7">
        <v>0.18</v>
      </c>
      <c r="O127" s="7">
        <v>0.12</v>
      </c>
      <c r="P127" s="7">
        <v>0.16</v>
      </c>
      <c r="Q127" s="7">
        <v>0.15</v>
      </c>
      <c r="R127" s="7">
        <v>0.17</v>
      </c>
      <c r="S127" s="7">
        <v>0.13</v>
      </c>
      <c r="T127" s="7">
        <v>0.12</v>
      </c>
      <c r="U127" s="7">
        <v>0.13</v>
      </c>
      <c r="V127" s="7">
        <v>0.1</v>
      </c>
      <c r="W127" s="7">
        <v>0.1</v>
      </c>
      <c r="X127" s="7">
        <v>0.1</v>
      </c>
    </row>
    <row r="128" spans="1:24" ht="14.4" x14ac:dyDescent="0.3">
      <c r="A128" s="27"/>
      <c r="B128" s="6" t="s">
        <v>70</v>
      </c>
      <c r="C128" s="8">
        <v>0.61</v>
      </c>
      <c r="D128" s="8">
        <v>0.61</v>
      </c>
      <c r="E128" s="8">
        <v>0.59</v>
      </c>
      <c r="F128" s="8">
        <v>0.56999999999999995</v>
      </c>
      <c r="G128" s="8">
        <v>0.56999999999999995</v>
      </c>
      <c r="H128" s="8">
        <v>0.56000000000000005</v>
      </c>
      <c r="I128" s="8">
        <v>0.51</v>
      </c>
      <c r="J128" s="8">
        <v>0.52</v>
      </c>
      <c r="K128" s="8">
        <v>0.67</v>
      </c>
      <c r="L128" s="8">
        <v>0.52</v>
      </c>
      <c r="M128" s="8">
        <v>0.44</v>
      </c>
      <c r="N128" s="8">
        <v>0.36</v>
      </c>
      <c r="O128" s="8">
        <v>0.32</v>
      </c>
      <c r="P128" s="8">
        <v>0.31</v>
      </c>
      <c r="Q128" s="8">
        <v>0.28999999999999998</v>
      </c>
      <c r="R128" s="8">
        <v>0.28999999999999998</v>
      </c>
      <c r="S128" s="8">
        <v>0.27</v>
      </c>
      <c r="T128" s="8">
        <v>0.27</v>
      </c>
      <c r="U128" s="8">
        <v>0.26</v>
      </c>
      <c r="V128" s="8">
        <v>0.25</v>
      </c>
      <c r="W128" s="8">
        <v>0.23</v>
      </c>
      <c r="X128" s="8">
        <v>0.24</v>
      </c>
    </row>
    <row r="129" spans="1:24" ht="14.4" x14ac:dyDescent="0.3">
      <c r="A129" s="28" t="s">
        <v>29</v>
      </c>
      <c r="B129" s="6" t="s">
        <v>6</v>
      </c>
      <c r="C129" s="7">
        <v>0.12</v>
      </c>
      <c r="D129" s="7">
        <v>0.1</v>
      </c>
      <c r="E129" s="7">
        <v>0.1</v>
      </c>
      <c r="F129" s="7">
        <v>0.13</v>
      </c>
      <c r="G129" s="7">
        <v>0.14000000000000001</v>
      </c>
      <c r="H129" s="7">
        <v>0.14000000000000001</v>
      </c>
      <c r="I129" s="7">
        <v>0.17</v>
      </c>
      <c r="J129" s="7">
        <v>0.17</v>
      </c>
      <c r="K129" s="7">
        <v>0.15</v>
      </c>
      <c r="L129" s="7">
        <v>0.14000000000000001</v>
      </c>
      <c r="M129" s="7">
        <v>0.16</v>
      </c>
      <c r="N129" s="7">
        <v>0.16</v>
      </c>
      <c r="O129" s="7">
        <v>0.17</v>
      </c>
      <c r="P129" s="7">
        <v>0.17</v>
      </c>
      <c r="Q129" s="7">
        <v>0.18</v>
      </c>
      <c r="R129" s="7">
        <v>0.18</v>
      </c>
      <c r="S129" s="7">
        <v>0.18</v>
      </c>
      <c r="T129" s="7">
        <v>0.18</v>
      </c>
      <c r="U129" s="7">
        <v>0.18</v>
      </c>
      <c r="V129" s="7">
        <v>0.16</v>
      </c>
      <c r="W129" s="7">
        <v>0.16</v>
      </c>
      <c r="X129" s="7">
        <v>0.16</v>
      </c>
    </row>
    <row r="130" spans="1:24" ht="14.4" x14ac:dyDescent="0.3">
      <c r="A130" s="27"/>
      <c r="B130" s="6" t="s">
        <v>63</v>
      </c>
      <c r="C130" s="8">
        <v>0.04</v>
      </c>
      <c r="D130" s="8">
        <v>0.03</v>
      </c>
      <c r="E130" s="8">
        <v>0.04</v>
      </c>
      <c r="F130" s="8">
        <v>0.04</v>
      </c>
      <c r="G130" s="8">
        <v>0.04</v>
      </c>
      <c r="H130" s="8">
        <v>0.04</v>
      </c>
      <c r="I130" s="8">
        <v>0.04</v>
      </c>
      <c r="J130" s="8">
        <v>0.06</v>
      </c>
      <c r="K130" s="8">
        <v>7.0000000000000007E-2</v>
      </c>
      <c r="L130" s="8">
        <v>0.08</v>
      </c>
      <c r="M130" s="8">
        <v>0.09</v>
      </c>
      <c r="N130" s="8">
        <v>0.1</v>
      </c>
      <c r="O130" s="8">
        <v>0.1</v>
      </c>
      <c r="P130" s="8">
        <v>0.1</v>
      </c>
      <c r="Q130" s="8">
        <v>0.11</v>
      </c>
      <c r="R130" s="8">
        <v>0.11</v>
      </c>
      <c r="S130" s="8">
        <v>0.1</v>
      </c>
      <c r="T130" s="8">
        <v>0.1</v>
      </c>
      <c r="U130" s="8">
        <v>0.1</v>
      </c>
      <c r="V130" s="8">
        <v>0.09</v>
      </c>
      <c r="W130" s="8">
        <v>0.09</v>
      </c>
      <c r="X130" s="8">
        <v>0.08</v>
      </c>
    </row>
    <row r="131" spans="1:24" ht="14.4" x14ac:dyDescent="0.3">
      <c r="A131" s="27"/>
      <c r="B131" s="6" t="s">
        <v>64</v>
      </c>
      <c r="C131" s="7">
        <v>0.15</v>
      </c>
      <c r="D131" s="7">
        <v>0.15</v>
      </c>
      <c r="E131" s="7">
        <v>0.16</v>
      </c>
      <c r="F131" s="7">
        <v>0.17</v>
      </c>
      <c r="G131" s="7">
        <v>0.17</v>
      </c>
      <c r="H131" s="7">
        <v>0.17</v>
      </c>
      <c r="I131" s="7">
        <v>0.17</v>
      </c>
      <c r="J131" s="7">
        <v>0.17</v>
      </c>
      <c r="K131" s="7">
        <v>0.17</v>
      </c>
      <c r="L131" s="7">
        <v>0.15</v>
      </c>
      <c r="M131" s="7">
        <v>0.17</v>
      </c>
      <c r="N131" s="7">
        <v>0.18</v>
      </c>
      <c r="O131" s="7">
        <v>0.18</v>
      </c>
      <c r="P131" s="7">
        <v>0.19</v>
      </c>
      <c r="Q131" s="7">
        <v>0.21</v>
      </c>
      <c r="R131" s="7">
        <v>0.2</v>
      </c>
      <c r="S131" s="7">
        <v>0.19</v>
      </c>
      <c r="T131" s="7">
        <v>0.19</v>
      </c>
      <c r="U131" s="7">
        <v>0.18</v>
      </c>
      <c r="V131" s="7">
        <v>0.18</v>
      </c>
      <c r="W131" s="7">
        <v>0.18</v>
      </c>
      <c r="X131" s="7">
        <v>0.18</v>
      </c>
    </row>
    <row r="132" spans="1:24" ht="14.4" x14ac:dyDescent="0.3">
      <c r="A132" s="27"/>
      <c r="B132" s="6" t="s">
        <v>65</v>
      </c>
      <c r="C132" s="8">
        <v>0.44</v>
      </c>
      <c r="D132" s="8">
        <v>0.3</v>
      </c>
      <c r="E132" s="8">
        <v>0.31</v>
      </c>
      <c r="F132" s="8">
        <v>0.4</v>
      </c>
      <c r="G132" s="8">
        <v>0.44</v>
      </c>
      <c r="H132" s="8">
        <v>0.41</v>
      </c>
      <c r="I132" s="8">
        <v>0.49</v>
      </c>
      <c r="J132" s="8">
        <v>0.52</v>
      </c>
      <c r="K132" s="8">
        <v>0.49</v>
      </c>
      <c r="L132" s="8">
        <v>0.46</v>
      </c>
      <c r="M132" s="8">
        <v>0.49</v>
      </c>
      <c r="N132" s="8">
        <v>0.5</v>
      </c>
      <c r="O132" s="8">
        <v>0.52</v>
      </c>
      <c r="P132" s="8">
        <v>0.51</v>
      </c>
      <c r="Q132" s="8">
        <v>0.56000000000000005</v>
      </c>
      <c r="R132" s="8">
        <v>0.56999999999999995</v>
      </c>
      <c r="S132" s="8">
        <v>0.55000000000000004</v>
      </c>
      <c r="T132" s="8">
        <v>0.57999999999999996</v>
      </c>
      <c r="U132" s="8">
        <v>0.6</v>
      </c>
      <c r="V132" s="8">
        <v>0.6</v>
      </c>
      <c r="W132" s="8">
        <v>0.56000000000000005</v>
      </c>
      <c r="X132" s="8">
        <v>0.63</v>
      </c>
    </row>
    <row r="133" spans="1:24" ht="14.4" x14ac:dyDescent="0.3">
      <c r="A133" s="27"/>
      <c r="B133" s="6" t="s">
        <v>66</v>
      </c>
      <c r="C133" s="7">
        <v>0.2</v>
      </c>
      <c r="D133" s="7">
        <v>0.16</v>
      </c>
      <c r="E133" s="7">
        <v>0.17</v>
      </c>
      <c r="F133" s="7">
        <v>0.2</v>
      </c>
      <c r="G133" s="7">
        <v>0.21</v>
      </c>
      <c r="H133" s="7">
        <v>0.2</v>
      </c>
      <c r="I133" s="7">
        <v>0.23</v>
      </c>
      <c r="J133" s="7">
        <v>0.24</v>
      </c>
      <c r="K133" s="7">
        <v>0.24</v>
      </c>
      <c r="L133" s="7">
        <v>0.23</v>
      </c>
      <c r="M133" s="7">
        <v>0.25</v>
      </c>
      <c r="N133" s="7">
        <v>0.26</v>
      </c>
      <c r="O133" s="7">
        <v>0.26</v>
      </c>
      <c r="P133" s="7">
        <v>0.27</v>
      </c>
      <c r="Q133" s="7">
        <v>0.28999999999999998</v>
      </c>
      <c r="R133" s="7">
        <v>0.28999999999999998</v>
      </c>
      <c r="S133" s="7">
        <v>0.28000000000000003</v>
      </c>
      <c r="T133" s="7">
        <v>0.28000000000000003</v>
      </c>
      <c r="U133" s="7">
        <v>0.28000000000000003</v>
      </c>
      <c r="V133" s="7">
        <v>0.28000000000000003</v>
      </c>
      <c r="W133" s="7">
        <v>0.27</v>
      </c>
      <c r="X133" s="7">
        <v>0.28999999999999998</v>
      </c>
    </row>
    <row r="134" spans="1:24" ht="14.4" x14ac:dyDescent="0.3">
      <c r="A134" s="27"/>
      <c r="B134" s="6" t="s">
        <v>67</v>
      </c>
      <c r="C134" s="8">
        <v>0</v>
      </c>
      <c r="D134" s="8">
        <v>0</v>
      </c>
      <c r="E134" s="8">
        <v>0</v>
      </c>
      <c r="F134" s="8">
        <v>0</v>
      </c>
      <c r="G134" s="8">
        <v>0</v>
      </c>
      <c r="H134" s="8">
        <v>0</v>
      </c>
      <c r="I134" s="8">
        <v>0</v>
      </c>
      <c r="J134" s="8">
        <v>0</v>
      </c>
      <c r="K134" s="8">
        <v>0</v>
      </c>
      <c r="L134" s="8">
        <v>0</v>
      </c>
      <c r="M134" s="8">
        <v>0</v>
      </c>
      <c r="N134" s="8">
        <v>0</v>
      </c>
      <c r="O134" s="8">
        <v>0</v>
      </c>
      <c r="P134" s="8">
        <v>0</v>
      </c>
      <c r="Q134" s="8">
        <v>0</v>
      </c>
      <c r="R134" s="8">
        <v>0</v>
      </c>
      <c r="S134" s="8">
        <v>0</v>
      </c>
      <c r="T134" s="8">
        <v>0.01</v>
      </c>
      <c r="U134" s="8">
        <v>0.01</v>
      </c>
      <c r="V134" s="8">
        <v>0.01</v>
      </c>
      <c r="W134" s="8">
        <v>0.01</v>
      </c>
      <c r="X134" s="8">
        <v>0</v>
      </c>
    </row>
    <row r="135" spans="1:24" ht="14.4" x14ac:dyDescent="0.3">
      <c r="A135" s="27"/>
      <c r="B135" s="6" t="s">
        <v>68</v>
      </c>
      <c r="C135" s="7">
        <v>0.05</v>
      </c>
      <c r="D135" s="7">
        <v>0.04</v>
      </c>
      <c r="E135" s="7">
        <v>0.05</v>
      </c>
      <c r="F135" s="7">
        <v>0.1</v>
      </c>
      <c r="G135" s="7">
        <v>0.09</v>
      </c>
      <c r="H135" s="7">
        <v>0.12</v>
      </c>
      <c r="I135" s="7">
        <v>0.15</v>
      </c>
      <c r="J135" s="7">
        <v>0.14000000000000001</v>
      </c>
      <c r="K135" s="7">
        <v>0.1</v>
      </c>
      <c r="L135" s="7">
        <v>0.09</v>
      </c>
      <c r="M135" s="7">
        <v>0.1</v>
      </c>
      <c r="N135" s="7">
        <v>7.0000000000000007E-2</v>
      </c>
      <c r="O135" s="7">
        <v>0.08</v>
      </c>
      <c r="P135" s="7">
        <v>0.08</v>
      </c>
      <c r="Q135" s="7">
        <v>0.08</v>
      </c>
      <c r="R135" s="7">
        <v>0.09</v>
      </c>
      <c r="S135" s="7">
        <v>0.09</v>
      </c>
      <c r="T135" s="7">
        <v>0.09</v>
      </c>
      <c r="U135" s="7">
        <v>0.09</v>
      </c>
      <c r="V135" s="7">
        <v>0.09</v>
      </c>
      <c r="W135" s="7">
        <v>0.08</v>
      </c>
      <c r="X135" s="7">
        <v>7.0000000000000007E-2</v>
      </c>
    </row>
    <row r="136" spans="1:24" ht="14.4" x14ac:dyDescent="0.3">
      <c r="A136" s="27"/>
      <c r="B136" s="6" t="s">
        <v>69</v>
      </c>
      <c r="C136" s="8">
        <v>0.04</v>
      </c>
      <c r="D136" s="8">
        <v>0.05</v>
      </c>
      <c r="E136" s="8">
        <v>0.03</v>
      </c>
      <c r="F136" s="8">
        <v>0.06</v>
      </c>
      <c r="G136" s="8">
        <v>0.09</v>
      </c>
      <c r="H136" s="8">
        <v>0.1</v>
      </c>
      <c r="I136" s="8">
        <v>0.15</v>
      </c>
      <c r="J136" s="8">
        <v>0.1</v>
      </c>
      <c r="K136" s="8">
        <v>0.08</v>
      </c>
      <c r="L136" s="8">
        <v>0.02</v>
      </c>
      <c r="M136" s="8">
        <v>7.0000000000000007E-2</v>
      </c>
      <c r="N136" s="8">
        <v>0.11</v>
      </c>
      <c r="O136" s="8">
        <v>0.11</v>
      </c>
      <c r="P136" s="8">
        <v>0.11</v>
      </c>
      <c r="Q136" s="8">
        <v>0.11</v>
      </c>
      <c r="R136" s="8">
        <v>0.11</v>
      </c>
      <c r="S136" s="8">
        <v>0.11</v>
      </c>
      <c r="T136" s="8">
        <v>0.11</v>
      </c>
      <c r="U136" s="8">
        <v>0.11</v>
      </c>
      <c r="V136" s="8">
        <v>0.02</v>
      </c>
      <c r="W136" s="8">
        <v>0.03</v>
      </c>
      <c r="X136" s="8">
        <v>0.03</v>
      </c>
    </row>
    <row r="137" spans="1:24" ht="14.4" x14ac:dyDescent="0.3">
      <c r="A137" s="27"/>
      <c r="B137" s="6" t="s">
        <v>70</v>
      </c>
      <c r="C137" s="7">
        <v>0.03</v>
      </c>
      <c r="D137" s="7">
        <v>0.03</v>
      </c>
      <c r="E137" s="7">
        <v>0.03</v>
      </c>
      <c r="F137" s="7">
        <v>0.06</v>
      </c>
      <c r="G137" s="7">
        <v>0.06</v>
      </c>
      <c r="H137" s="7">
        <v>0.08</v>
      </c>
      <c r="I137" s="7">
        <v>0.11</v>
      </c>
      <c r="J137" s="7">
        <v>0.09</v>
      </c>
      <c r="K137" s="7">
        <v>7.0000000000000007E-2</v>
      </c>
      <c r="L137" s="7">
        <v>0.04</v>
      </c>
      <c r="M137" s="7">
        <v>0.06</v>
      </c>
      <c r="N137" s="7">
        <v>0.06</v>
      </c>
      <c r="O137" s="7">
        <v>0.06</v>
      </c>
      <c r="P137" s="7">
        <v>7.0000000000000007E-2</v>
      </c>
      <c r="Q137" s="7">
        <v>7.0000000000000007E-2</v>
      </c>
      <c r="R137" s="7">
        <v>7.0000000000000007E-2</v>
      </c>
      <c r="S137" s="7">
        <v>7.0000000000000007E-2</v>
      </c>
      <c r="T137" s="7">
        <v>7.0000000000000007E-2</v>
      </c>
      <c r="U137" s="7">
        <v>7.0000000000000007E-2</v>
      </c>
      <c r="V137" s="7">
        <v>0.04</v>
      </c>
      <c r="W137" s="7">
        <v>0.04</v>
      </c>
      <c r="X137" s="7">
        <v>0.04</v>
      </c>
    </row>
    <row r="138" spans="1:24" ht="14.4" x14ac:dyDescent="0.3">
      <c r="A138" s="28" t="s">
        <v>73</v>
      </c>
      <c r="B138" s="6" t="s">
        <v>6</v>
      </c>
      <c r="C138" s="8">
        <v>0.06</v>
      </c>
      <c r="D138" s="8">
        <v>0.06</v>
      </c>
      <c r="E138" s="8">
        <v>0.09</v>
      </c>
      <c r="F138" s="8">
        <v>0.08</v>
      </c>
      <c r="G138" s="8">
        <v>0.09</v>
      </c>
      <c r="H138" s="8">
        <v>0.09</v>
      </c>
      <c r="I138" s="8">
        <v>0.09</v>
      </c>
      <c r="J138" s="8">
        <v>0.09</v>
      </c>
      <c r="K138" s="8">
        <v>0.08</v>
      </c>
      <c r="L138" s="8">
        <v>0.1</v>
      </c>
      <c r="M138" s="8">
        <v>0.09</v>
      </c>
      <c r="N138" s="8">
        <v>0.09</v>
      </c>
      <c r="O138" s="8">
        <v>0.1</v>
      </c>
      <c r="P138" s="8">
        <v>0.11</v>
      </c>
      <c r="Q138" s="8">
        <v>0.12</v>
      </c>
      <c r="R138" s="8">
        <v>0.12</v>
      </c>
      <c r="S138" s="8">
        <v>0.11</v>
      </c>
      <c r="T138" s="8">
        <v>0.12</v>
      </c>
      <c r="U138" s="8">
        <v>0.12</v>
      </c>
      <c r="V138" s="8">
        <v>0.13</v>
      </c>
      <c r="W138" s="8">
        <v>0.14000000000000001</v>
      </c>
      <c r="X138" s="8">
        <v>0.14000000000000001</v>
      </c>
    </row>
    <row r="139" spans="1:24" ht="14.4" x14ac:dyDescent="0.3">
      <c r="A139" s="27"/>
      <c r="B139" s="6" t="s">
        <v>63</v>
      </c>
      <c r="C139" s="7">
        <v>0.04</v>
      </c>
      <c r="D139" s="7">
        <v>0.05</v>
      </c>
      <c r="E139" s="7">
        <v>0.05</v>
      </c>
      <c r="F139" s="7">
        <v>0.06</v>
      </c>
      <c r="G139" s="7">
        <v>0.06</v>
      </c>
      <c r="H139" s="7">
        <v>7.0000000000000007E-2</v>
      </c>
      <c r="I139" s="7">
        <v>7.0000000000000007E-2</v>
      </c>
      <c r="J139" s="7">
        <v>0.09</v>
      </c>
      <c r="K139" s="7">
        <v>0.1</v>
      </c>
      <c r="L139" s="7">
        <v>0.12</v>
      </c>
      <c r="M139" s="7">
        <v>0.1</v>
      </c>
      <c r="N139" s="7">
        <v>0.14000000000000001</v>
      </c>
      <c r="O139" s="7">
        <v>0.16</v>
      </c>
      <c r="P139" s="7">
        <v>0.18</v>
      </c>
      <c r="Q139" s="7">
        <v>0.2</v>
      </c>
      <c r="R139" s="7">
        <v>0.23</v>
      </c>
      <c r="S139" s="7">
        <v>0.24</v>
      </c>
      <c r="T139" s="7">
        <v>0.24</v>
      </c>
      <c r="U139" s="7">
        <v>0.26</v>
      </c>
      <c r="V139" s="7">
        <v>0.27</v>
      </c>
      <c r="W139" s="7">
        <v>0.27</v>
      </c>
      <c r="X139" s="7">
        <v>0.27</v>
      </c>
    </row>
    <row r="140" spans="1:24" ht="14.4" x14ac:dyDescent="0.3">
      <c r="A140" s="27"/>
      <c r="B140" s="6" t="s">
        <v>64</v>
      </c>
      <c r="C140" s="8">
        <v>0.01</v>
      </c>
      <c r="D140" s="8">
        <v>0.01</v>
      </c>
      <c r="E140" s="8">
        <v>0.01</v>
      </c>
      <c r="F140" s="8">
        <v>0.01</v>
      </c>
      <c r="G140" s="8">
        <v>0.02</v>
      </c>
      <c r="H140" s="8">
        <v>0.02</v>
      </c>
      <c r="I140" s="8">
        <v>0.02</v>
      </c>
      <c r="J140" s="8">
        <v>0.02</v>
      </c>
      <c r="K140" s="8">
        <v>0.03</v>
      </c>
      <c r="L140" s="8">
        <v>0.03</v>
      </c>
      <c r="M140" s="8">
        <v>0.03</v>
      </c>
      <c r="N140" s="8">
        <v>0.03</v>
      </c>
      <c r="O140" s="8">
        <v>0.03</v>
      </c>
      <c r="P140" s="8">
        <v>0.04</v>
      </c>
      <c r="Q140" s="8">
        <v>0.05</v>
      </c>
      <c r="R140" s="8">
        <v>0.05</v>
      </c>
      <c r="S140" s="8">
        <v>0.05</v>
      </c>
      <c r="T140" s="8">
        <v>0.05</v>
      </c>
      <c r="U140" s="8">
        <v>0.05</v>
      </c>
      <c r="V140" s="8">
        <v>0.06</v>
      </c>
      <c r="W140" s="8">
        <v>0.06</v>
      </c>
      <c r="X140" s="8">
        <v>0.06</v>
      </c>
    </row>
    <row r="141" spans="1:24" ht="14.4" x14ac:dyDescent="0.3">
      <c r="A141" s="27"/>
      <c r="B141" s="6" t="s">
        <v>65</v>
      </c>
      <c r="C141" s="7">
        <v>0.23</v>
      </c>
      <c r="D141" s="7">
        <v>0.28000000000000003</v>
      </c>
      <c r="E141" s="7">
        <v>0.43</v>
      </c>
      <c r="F141" s="7">
        <v>0.43</v>
      </c>
      <c r="G141" s="7">
        <v>0.45</v>
      </c>
      <c r="H141" s="7">
        <v>0.46</v>
      </c>
      <c r="I141" s="7">
        <v>0.47</v>
      </c>
      <c r="J141" s="7">
        <v>0.45</v>
      </c>
      <c r="K141" s="7">
        <v>0.37</v>
      </c>
      <c r="L141" s="7">
        <v>0.45</v>
      </c>
      <c r="M141" s="7">
        <v>0.43</v>
      </c>
      <c r="N141" s="7">
        <v>0.35</v>
      </c>
      <c r="O141" s="7">
        <v>0.37</v>
      </c>
      <c r="P141" s="7">
        <v>0.41</v>
      </c>
      <c r="Q141" s="7">
        <v>0.42</v>
      </c>
      <c r="R141" s="7">
        <v>0.41</v>
      </c>
      <c r="S141" s="7">
        <v>0.32</v>
      </c>
      <c r="T141" s="7">
        <v>0.35</v>
      </c>
      <c r="U141" s="7">
        <v>0.37</v>
      </c>
      <c r="V141" s="7">
        <v>0.38</v>
      </c>
      <c r="W141" s="7">
        <v>0.42</v>
      </c>
      <c r="X141" s="7">
        <v>0.43</v>
      </c>
    </row>
    <row r="142" spans="1:24" ht="14.4" x14ac:dyDescent="0.3">
      <c r="A142" s="27"/>
      <c r="B142" s="6" t="s">
        <v>66</v>
      </c>
      <c r="C142" s="8">
        <v>0.09</v>
      </c>
      <c r="D142" s="8">
        <v>0.1</v>
      </c>
      <c r="E142" s="8">
        <v>0.14000000000000001</v>
      </c>
      <c r="F142" s="8">
        <v>0.15</v>
      </c>
      <c r="G142" s="8">
        <v>0.16</v>
      </c>
      <c r="H142" s="8">
        <v>0.16</v>
      </c>
      <c r="I142" s="8">
        <v>0.17</v>
      </c>
      <c r="J142" s="8">
        <v>0.16</v>
      </c>
      <c r="K142" s="8">
        <v>0.16</v>
      </c>
      <c r="L142" s="8">
        <v>0.19</v>
      </c>
      <c r="M142" s="8">
        <v>0.17</v>
      </c>
      <c r="N142" s="8">
        <v>0.17</v>
      </c>
      <c r="O142" s="8">
        <v>0.18</v>
      </c>
      <c r="P142" s="8">
        <v>0.21</v>
      </c>
      <c r="Q142" s="8">
        <v>0.22</v>
      </c>
      <c r="R142" s="8">
        <v>0.23</v>
      </c>
      <c r="S142" s="8">
        <v>0.21</v>
      </c>
      <c r="T142" s="8">
        <v>0.22</v>
      </c>
      <c r="U142" s="8">
        <v>0.23</v>
      </c>
      <c r="V142" s="8">
        <v>0.24</v>
      </c>
      <c r="W142" s="8">
        <v>0.26</v>
      </c>
      <c r="X142" s="8">
        <v>0.26</v>
      </c>
    </row>
    <row r="143" spans="1:24" ht="14.4" x14ac:dyDescent="0.3">
      <c r="A143" s="27"/>
      <c r="B143" s="6" t="s">
        <v>67</v>
      </c>
      <c r="C143" s="7">
        <v>0.01</v>
      </c>
      <c r="D143" s="7">
        <v>0.01</v>
      </c>
      <c r="E143" s="7">
        <v>0.01</v>
      </c>
      <c r="F143" s="7">
        <v>0.01</v>
      </c>
      <c r="G143" s="7">
        <v>0.01</v>
      </c>
      <c r="H143" s="7">
        <v>0.02</v>
      </c>
      <c r="I143" s="7">
        <v>0.02</v>
      </c>
      <c r="J143" s="7">
        <v>0.02</v>
      </c>
      <c r="K143" s="7">
        <v>0.02</v>
      </c>
      <c r="L143" s="7">
        <v>0.02</v>
      </c>
      <c r="M143" s="7">
        <v>0.02</v>
      </c>
      <c r="N143" s="7">
        <v>0.02</v>
      </c>
      <c r="O143" s="7">
        <v>0.02</v>
      </c>
      <c r="P143" s="7">
        <v>0.02</v>
      </c>
      <c r="Q143" s="7">
        <v>0.02</v>
      </c>
      <c r="R143" s="7">
        <v>0.02</v>
      </c>
      <c r="S143" s="7">
        <v>0.02</v>
      </c>
      <c r="T143" s="7">
        <v>0.02</v>
      </c>
      <c r="U143" s="7">
        <v>0.02</v>
      </c>
      <c r="V143" s="7">
        <v>0.02</v>
      </c>
      <c r="W143" s="7">
        <v>0.02</v>
      </c>
      <c r="X143" s="7">
        <v>0.02</v>
      </c>
    </row>
    <row r="144" spans="1:24" ht="14.4" x14ac:dyDescent="0.3">
      <c r="A144" s="27"/>
      <c r="B144" s="6" t="s">
        <v>68</v>
      </c>
      <c r="C144" s="8">
        <v>7.0000000000000007E-2</v>
      </c>
      <c r="D144" s="8">
        <v>0.06</v>
      </c>
      <c r="E144" s="8">
        <v>0.09</v>
      </c>
      <c r="F144" s="8">
        <v>0.03</v>
      </c>
      <c r="G144" s="8">
        <v>0.03</v>
      </c>
      <c r="H144" s="8">
        <v>0.02</v>
      </c>
      <c r="I144" s="8">
        <v>0</v>
      </c>
      <c r="J144" s="8">
        <v>0</v>
      </c>
      <c r="K144" s="8">
        <v>0</v>
      </c>
      <c r="L144" s="8">
        <v>0</v>
      </c>
      <c r="M144" s="8">
        <v>0</v>
      </c>
      <c r="N144" s="8">
        <v>0</v>
      </c>
      <c r="O144" s="8">
        <v>0</v>
      </c>
      <c r="P144" s="8">
        <v>0.01</v>
      </c>
      <c r="Q144" s="8">
        <v>0.01</v>
      </c>
      <c r="R144" s="8">
        <v>0.01</v>
      </c>
      <c r="S144" s="8">
        <v>0.01</v>
      </c>
      <c r="T144" s="8">
        <v>0.01</v>
      </c>
      <c r="U144" s="8">
        <v>0.01</v>
      </c>
      <c r="V144" s="8">
        <v>0.01</v>
      </c>
      <c r="W144" s="8">
        <v>0.01</v>
      </c>
      <c r="X144" s="8">
        <v>0.01</v>
      </c>
    </row>
    <row r="145" spans="1:24" ht="14.4" x14ac:dyDescent="0.3">
      <c r="A145" s="27"/>
      <c r="B145" s="6" t="s">
        <v>69</v>
      </c>
      <c r="C145" s="7">
        <v>0</v>
      </c>
      <c r="D145" s="7">
        <v>0</v>
      </c>
      <c r="E145" s="7">
        <v>0</v>
      </c>
      <c r="F145" s="7">
        <v>0</v>
      </c>
      <c r="G145" s="7">
        <v>0</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row>
    <row r="146" spans="1:24" ht="14.4" x14ac:dyDescent="0.3">
      <c r="A146" s="27"/>
      <c r="B146" s="6" t="s">
        <v>70</v>
      </c>
      <c r="C146" s="8">
        <v>0.03</v>
      </c>
      <c r="D146" s="8">
        <v>0.03</v>
      </c>
      <c r="E146" s="8">
        <v>0.04</v>
      </c>
      <c r="F146" s="8">
        <v>0.02</v>
      </c>
      <c r="G146" s="8">
        <v>0.01</v>
      </c>
      <c r="H146" s="8">
        <v>0.01</v>
      </c>
      <c r="I146" s="8">
        <v>0.01</v>
      </c>
      <c r="J146" s="8">
        <v>0.01</v>
      </c>
      <c r="K146" s="8">
        <v>0.01</v>
      </c>
      <c r="L146" s="8">
        <v>0.01</v>
      </c>
      <c r="M146" s="8">
        <v>0.01</v>
      </c>
      <c r="N146" s="8">
        <v>0.01</v>
      </c>
      <c r="O146" s="8">
        <v>0.01</v>
      </c>
      <c r="P146" s="8">
        <v>0.01</v>
      </c>
      <c r="Q146" s="8">
        <v>0.01</v>
      </c>
      <c r="R146" s="8">
        <v>0.01</v>
      </c>
      <c r="S146" s="8">
        <v>0.01</v>
      </c>
      <c r="T146" s="8">
        <v>0.01</v>
      </c>
      <c r="U146" s="8">
        <v>0.01</v>
      </c>
      <c r="V146" s="8">
        <v>0.01</v>
      </c>
      <c r="W146" s="8">
        <v>0.01</v>
      </c>
      <c r="X146" s="8">
        <v>0.01</v>
      </c>
    </row>
    <row r="147" spans="1:24" ht="14.4" x14ac:dyDescent="0.3">
      <c r="A147" s="28" t="s">
        <v>74</v>
      </c>
      <c r="B147" s="6" t="s">
        <v>6</v>
      </c>
      <c r="C147" s="7">
        <v>0.1</v>
      </c>
      <c r="D147" s="7">
        <v>0.1</v>
      </c>
      <c r="E147" s="7">
        <v>7.0000000000000007E-2</v>
      </c>
      <c r="F147" s="7">
        <v>0.1</v>
      </c>
      <c r="G147" s="7">
        <v>0.09</v>
      </c>
      <c r="H147" s="7">
        <v>0.12</v>
      </c>
      <c r="I147" s="7">
        <v>0.15</v>
      </c>
      <c r="J147" s="7">
        <v>0.15</v>
      </c>
      <c r="K147" s="7">
        <v>0.13</v>
      </c>
      <c r="L147" s="7">
        <v>0.15</v>
      </c>
      <c r="M147" s="7">
        <v>0.15</v>
      </c>
      <c r="N147" s="7">
        <v>0.15</v>
      </c>
      <c r="O147" s="7">
        <v>0.16</v>
      </c>
      <c r="P147" s="7">
        <v>0.16</v>
      </c>
      <c r="Q147" s="7">
        <v>0.13</v>
      </c>
      <c r="R147" s="7">
        <v>0.14000000000000001</v>
      </c>
      <c r="S147" s="7">
        <v>0.14000000000000001</v>
      </c>
      <c r="T147" s="7">
        <v>0.14000000000000001</v>
      </c>
      <c r="U147" s="7">
        <v>0.18</v>
      </c>
      <c r="V147" s="7">
        <v>0.18</v>
      </c>
      <c r="W147" s="7">
        <v>0.17</v>
      </c>
      <c r="X147" s="7">
        <v>0.17</v>
      </c>
    </row>
    <row r="148" spans="1:24" ht="14.4" x14ac:dyDescent="0.3">
      <c r="A148" s="27"/>
      <c r="B148" s="6" t="s">
        <v>63</v>
      </c>
      <c r="C148" s="8">
        <v>0.02</v>
      </c>
      <c r="D148" s="8">
        <v>0.02</v>
      </c>
      <c r="E148" s="8">
        <v>0.02</v>
      </c>
      <c r="F148" s="8">
        <v>0.02</v>
      </c>
      <c r="G148" s="8">
        <v>0.02</v>
      </c>
      <c r="H148" s="8">
        <v>0.02</v>
      </c>
      <c r="I148" s="8">
        <v>0.02</v>
      </c>
      <c r="J148" s="8">
        <v>0.02</v>
      </c>
      <c r="K148" s="8">
        <v>0.03</v>
      </c>
      <c r="L148" s="8">
        <v>0.05</v>
      </c>
      <c r="M148" s="8">
        <v>7.0000000000000007E-2</v>
      </c>
      <c r="N148" s="8">
        <v>0.08</v>
      </c>
      <c r="O148" s="8">
        <v>0.09</v>
      </c>
      <c r="P148" s="8">
        <v>0.11</v>
      </c>
      <c r="Q148" s="8">
        <v>0.12</v>
      </c>
      <c r="R148" s="8">
        <v>0.14000000000000001</v>
      </c>
      <c r="S148" s="8">
        <v>0.14000000000000001</v>
      </c>
      <c r="T148" s="8">
        <v>0.15</v>
      </c>
      <c r="U148" s="8">
        <v>0.15</v>
      </c>
      <c r="V148" s="8">
        <v>0.16</v>
      </c>
      <c r="W148" s="8">
        <v>0.16</v>
      </c>
      <c r="X148" s="8">
        <v>0.16</v>
      </c>
    </row>
    <row r="149" spans="1:24" ht="14.4" x14ac:dyDescent="0.3">
      <c r="A149" s="27"/>
      <c r="B149" s="6" t="s">
        <v>64</v>
      </c>
      <c r="C149" s="7">
        <v>0.02</v>
      </c>
      <c r="D149" s="7">
        <v>0.03</v>
      </c>
      <c r="E149" s="7">
        <v>0.02</v>
      </c>
      <c r="F149" s="7">
        <v>0.02</v>
      </c>
      <c r="G149" s="7">
        <v>0.02</v>
      </c>
      <c r="H149" s="7">
        <v>0.02</v>
      </c>
      <c r="I149" s="7">
        <v>0.03</v>
      </c>
      <c r="J149" s="7">
        <v>0.02</v>
      </c>
      <c r="K149" s="7">
        <v>0.03</v>
      </c>
      <c r="L149" s="7">
        <v>0.04</v>
      </c>
      <c r="M149" s="7">
        <v>0.05</v>
      </c>
      <c r="N149" s="7">
        <v>0.06</v>
      </c>
      <c r="O149" s="7">
        <v>0.06</v>
      </c>
      <c r="P149" s="7">
        <v>0.06</v>
      </c>
      <c r="Q149" s="7">
        <v>0.05</v>
      </c>
      <c r="R149" s="7">
        <v>0.05</v>
      </c>
      <c r="S149" s="7">
        <v>0.06</v>
      </c>
      <c r="T149" s="7">
        <v>0.05</v>
      </c>
      <c r="U149" s="7">
        <v>0.06</v>
      </c>
      <c r="V149" s="7">
        <v>0.06</v>
      </c>
      <c r="W149" s="7">
        <v>0.06</v>
      </c>
      <c r="X149" s="7">
        <v>0.06</v>
      </c>
    </row>
    <row r="150" spans="1:24" ht="14.4" x14ac:dyDescent="0.3">
      <c r="A150" s="27"/>
      <c r="B150" s="6" t="s">
        <v>65</v>
      </c>
      <c r="C150" s="8">
        <v>0.53</v>
      </c>
      <c r="D150" s="8">
        <v>0.53</v>
      </c>
      <c r="E150" s="8">
        <v>0.32</v>
      </c>
      <c r="F150" s="8">
        <v>0.54</v>
      </c>
      <c r="G150" s="8">
        <v>0.5</v>
      </c>
      <c r="H150" s="8">
        <v>0.43</v>
      </c>
      <c r="I150" s="8">
        <v>0.72</v>
      </c>
      <c r="J150" s="8">
        <v>0.71</v>
      </c>
      <c r="K150" s="8">
        <v>0.51</v>
      </c>
      <c r="L150" s="8">
        <v>0.56999999999999995</v>
      </c>
      <c r="M150" s="8">
        <v>0.53</v>
      </c>
      <c r="N150" s="8">
        <v>0.5</v>
      </c>
      <c r="O150" s="8">
        <v>0.54</v>
      </c>
      <c r="P150" s="8">
        <v>0.54</v>
      </c>
      <c r="Q150" s="8">
        <v>0.31</v>
      </c>
      <c r="R150" s="8">
        <v>0.36</v>
      </c>
      <c r="S150" s="8">
        <v>0.35</v>
      </c>
      <c r="T150" s="8">
        <v>0.32</v>
      </c>
      <c r="U150" s="8">
        <v>0.54</v>
      </c>
      <c r="V150" s="8">
        <v>0.56000000000000005</v>
      </c>
      <c r="W150" s="8">
        <v>0.56000000000000005</v>
      </c>
      <c r="X150" s="8">
        <v>0.55000000000000004</v>
      </c>
    </row>
    <row r="151" spans="1:24" ht="14.4" x14ac:dyDescent="0.3">
      <c r="A151" s="27"/>
      <c r="B151" s="6" t="s">
        <v>66</v>
      </c>
      <c r="C151" s="7">
        <v>0.16</v>
      </c>
      <c r="D151" s="7">
        <v>0.16</v>
      </c>
      <c r="E151" s="7">
        <v>0.11</v>
      </c>
      <c r="F151" s="7">
        <v>0.17</v>
      </c>
      <c r="G151" s="7">
        <v>0.15</v>
      </c>
      <c r="H151" s="7">
        <v>0.14000000000000001</v>
      </c>
      <c r="I151" s="7">
        <v>0.22</v>
      </c>
      <c r="J151" s="7">
        <v>0.21</v>
      </c>
      <c r="K151" s="7">
        <v>0.16</v>
      </c>
      <c r="L151" s="7">
        <v>0.2</v>
      </c>
      <c r="M151" s="7">
        <v>0.2</v>
      </c>
      <c r="N151" s="7">
        <v>0.19</v>
      </c>
      <c r="O151" s="7">
        <v>0.21</v>
      </c>
      <c r="P151" s="7">
        <v>0.22</v>
      </c>
      <c r="Q151" s="7">
        <v>0.16</v>
      </c>
      <c r="R151" s="7">
        <v>0.18</v>
      </c>
      <c r="S151" s="7">
        <v>0.18</v>
      </c>
      <c r="T151" s="7">
        <v>0.17</v>
      </c>
      <c r="U151" s="7">
        <v>0.24</v>
      </c>
      <c r="V151" s="7">
        <v>0.25</v>
      </c>
      <c r="W151" s="7">
        <v>0.25</v>
      </c>
      <c r="X151" s="7">
        <v>0.25</v>
      </c>
    </row>
    <row r="152" spans="1:24" ht="14.4" x14ac:dyDescent="0.3">
      <c r="A152" s="27"/>
      <c r="B152" s="6" t="s">
        <v>67</v>
      </c>
      <c r="C152" s="8">
        <v>0.06</v>
      </c>
      <c r="D152" s="8">
        <v>7.0000000000000007E-2</v>
      </c>
      <c r="E152" s="8">
        <v>0.06</v>
      </c>
      <c r="F152" s="8">
        <v>0.05</v>
      </c>
      <c r="G152" s="8">
        <v>0.05</v>
      </c>
      <c r="H152" s="8">
        <v>0.05</v>
      </c>
      <c r="I152" s="8">
        <v>0.04</v>
      </c>
      <c r="J152" s="8">
        <v>0.04</v>
      </c>
      <c r="K152" s="8">
        <v>0.04</v>
      </c>
      <c r="L152" s="8">
        <v>0.04</v>
      </c>
      <c r="M152" s="8">
        <v>0.04</v>
      </c>
      <c r="N152" s="8">
        <v>0.03</v>
      </c>
      <c r="O152" s="8">
        <v>0.03</v>
      </c>
      <c r="P152" s="8">
        <v>0.03</v>
      </c>
      <c r="Q152" s="8">
        <v>0.03</v>
      </c>
      <c r="R152" s="8">
        <v>0.03</v>
      </c>
      <c r="S152" s="8">
        <v>0.02</v>
      </c>
      <c r="T152" s="8">
        <v>0.03</v>
      </c>
      <c r="U152" s="8">
        <v>0.05</v>
      </c>
      <c r="V152" s="8">
        <v>0.02</v>
      </c>
      <c r="W152" s="8">
        <v>0.02</v>
      </c>
      <c r="X152" s="8">
        <v>0.01</v>
      </c>
    </row>
    <row r="153" spans="1:24" ht="14.4" x14ac:dyDescent="0.3">
      <c r="A153" s="27"/>
      <c r="B153" s="6" t="s">
        <v>68</v>
      </c>
      <c r="C153" s="7">
        <v>0.04</v>
      </c>
      <c r="D153" s="7">
        <v>0.04</v>
      </c>
      <c r="E153" s="7">
        <v>0.04</v>
      </c>
      <c r="F153" s="7">
        <v>0.03</v>
      </c>
      <c r="G153" s="7">
        <v>0.03</v>
      </c>
      <c r="H153" s="7">
        <v>0.23</v>
      </c>
      <c r="I153" s="7">
        <v>0.19</v>
      </c>
      <c r="J153" s="7">
        <v>0.19</v>
      </c>
      <c r="K153" s="7">
        <v>0.21</v>
      </c>
      <c r="L153" s="7">
        <v>0.2</v>
      </c>
      <c r="M153" s="7">
        <v>0.24</v>
      </c>
      <c r="N153" s="7">
        <v>0.24</v>
      </c>
      <c r="O153" s="7">
        <v>0.24</v>
      </c>
      <c r="P153" s="7">
        <v>0.24</v>
      </c>
      <c r="Q153" s="7">
        <v>0.24</v>
      </c>
      <c r="R153" s="7">
        <v>0.25</v>
      </c>
      <c r="S153" s="7">
        <v>0.24</v>
      </c>
      <c r="T153" s="7">
        <v>0.25</v>
      </c>
      <c r="U153" s="7">
        <v>0.25</v>
      </c>
      <c r="V153" s="7">
        <v>0.25</v>
      </c>
      <c r="W153" s="7">
        <v>0.24</v>
      </c>
      <c r="X153" s="7">
        <v>0.22</v>
      </c>
    </row>
    <row r="154" spans="1:24" ht="14.4" x14ac:dyDescent="0.3">
      <c r="A154" s="27"/>
      <c r="B154" s="6" t="s">
        <v>69</v>
      </c>
      <c r="C154" s="8">
        <v>0</v>
      </c>
      <c r="D154" s="8">
        <v>0</v>
      </c>
      <c r="E154" s="8">
        <v>0</v>
      </c>
      <c r="F154" s="8">
        <v>0</v>
      </c>
      <c r="G154" s="8">
        <v>0</v>
      </c>
      <c r="H154" s="8">
        <v>0</v>
      </c>
      <c r="I154" s="8">
        <v>0</v>
      </c>
      <c r="J154" s="8">
        <v>0</v>
      </c>
      <c r="K154" s="8">
        <v>0</v>
      </c>
      <c r="L154" s="8">
        <v>0</v>
      </c>
      <c r="M154" s="8">
        <v>0</v>
      </c>
      <c r="N154" s="8">
        <v>0</v>
      </c>
      <c r="O154" s="8">
        <v>0</v>
      </c>
      <c r="P154" s="8">
        <v>0</v>
      </c>
      <c r="Q154" s="8">
        <v>0</v>
      </c>
      <c r="R154" s="8">
        <v>0</v>
      </c>
      <c r="S154" s="8">
        <v>0</v>
      </c>
      <c r="T154" s="8">
        <v>0</v>
      </c>
      <c r="U154" s="8">
        <v>0</v>
      </c>
      <c r="V154" s="8">
        <v>0</v>
      </c>
      <c r="W154" s="8">
        <v>0</v>
      </c>
      <c r="X154" s="8">
        <v>0</v>
      </c>
    </row>
    <row r="155" spans="1:24" ht="14.4" x14ac:dyDescent="0.3">
      <c r="A155" s="27"/>
      <c r="B155" s="6" t="s">
        <v>70</v>
      </c>
      <c r="C155" s="7">
        <v>0.04</v>
      </c>
      <c r="D155" s="7">
        <v>0.04</v>
      </c>
      <c r="E155" s="7">
        <v>0.03</v>
      </c>
      <c r="F155" s="7">
        <v>0.03</v>
      </c>
      <c r="G155" s="7">
        <v>0.03</v>
      </c>
      <c r="H155" s="7">
        <v>0.1</v>
      </c>
      <c r="I155" s="7">
        <v>0.09</v>
      </c>
      <c r="J155" s="7">
        <v>0.09</v>
      </c>
      <c r="K155" s="7">
        <v>0.09</v>
      </c>
      <c r="L155" s="7">
        <v>0.09</v>
      </c>
      <c r="M155" s="7">
        <v>0.1</v>
      </c>
      <c r="N155" s="7">
        <v>0.1</v>
      </c>
      <c r="O155" s="7">
        <v>0.1</v>
      </c>
      <c r="P155" s="7">
        <v>0.1</v>
      </c>
      <c r="Q155" s="7">
        <v>0.1</v>
      </c>
      <c r="R155" s="7">
        <v>0.1</v>
      </c>
      <c r="S155" s="7">
        <v>0.1</v>
      </c>
      <c r="T155" s="7">
        <v>0.11</v>
      </c>
      <c r="U155" s="7">
        <v>0.11</v>
      </c>
      <c r="V155" s="7">
        <v>0.1</v>
      </c>
      <c r="W155" s="7">
        <v>0.09</v>
      </c>
      <c r="X155" s="7">
        <v>0.09</v>
      </c>
    </row>
    <row r="156" spans="1:24" ht="14.4" x14ac:dyDescent="0.3">
      <c r="A156" s="28" t="s">
        <v>31</v>
      </c>
      <c r="B156" s="6" t="s">
        <v>6</v>
      </c>
      <c r="C156" s="8">
        <v>0.28999999999999998</v>
      </c>
      <c r="D156" s="8">
        <v>0.27</v>
      </c>
      <c r="E156" s="8">
        <v>0.27</v>
      </c>
      <c r="F156" s="8">
        <v>0.27</v>
      </c>
      <c r="G156" s="8">
        <v>0.28000000000000003</v>
      </c>
      <c r="H156" s="8">
        <v>0.31</v>
      </c>
      <c r="I156" s="8">
        <v>0.34</v>
      </c>
      <c r="J156" s="8">
        <v>0.32</v>
      </c>
      <c r="K156" s="8">
        <v>0.34</v>
      </c>
      <c r="L156" s="8">
        <v>0.31</v>
      </c>
      <c r="M156" s="8">
        <v>0.33</v>
      </c>
      <c r="N156" s="8">
        <v>0.31</v>
      </c>
      <c r="O156" s="8">
        <v>0.3</v>
      </c>
      <c r="P156" s="8">
        <v>0.28999999999999998</v>
      </c>
      <c r="Q156" s="8">
        <v>0.28999999999999998</v>
      </c>
      <c r="R156" s="8">
        <v>0.3</v>
      </c>
      <c r="S156" s="8">
        <v>0.28999999999999998</v>
      </c>
      <c r="T156" s="8">
        <v>0.3</v>
      </c>
      <c r="U156" s="8">
        <v>0.3</v>
      </c>
      <c r="V156" s="8">
        <v>0.28999999999999998</v>
      </c>
      <c r="W156" s="8">
        <v>0.31</v>
      </c>
      <c r="X156" s="8">
        <v>0.3</v>
      </c>
    </row>
    <row r="157" spans="1:24" ht="14.4" x14ac:dyDescent="0.3">
      <c r="A157" s="27"/>
      <c r="B157" s="6" t="s">
        <v>63</v>
      </c>
      <c r="C157" s="7">
        <v>0.43</v>
      </c>
      <c r="D157" s="7">
        <v>0.41</v>
      </c>
      <c r="E157" s="7">
        <v>0.4</v>
      </c>
      <c r="F157" s="7">
        <v>0.42</v>
      </c>
      <c r="G157" s="7">
        <v>0.44</v>
      </c>
      <c r="H157" s="7">
        <v>0.44</v>
      </c>
      <c r="I157" s="7">
        <v>0.44</v>
      </c>
      <c r="J157" s="7">
        <v>0.45</v>
      </c>
      <c r="K157" s="7">
        <v>0.46</v>
      </c>
      <c r="L157" s="7">
        <v>0.46</v>
      </c>
      <c r="M157" s="7">
        <v>0.46</v>
      </c>
      <c r="N157" s="7">
        <v>0.46</v>
      </c>
      <c r="O157" s="7">
        <v>0.45</v>
      </c>
      <c r="P157" s="7">
        <v>0.44</v>
      </c>
      <c r="Q157" s="7">
        <v>0.43</v>
      </c>
      <c r="R157" s="7">
        <v>0.43</v>
      </c>
      <c r="S157" s="7">
        <v>0.43</v>
      </c>
      <c r="T157" s="7">
        <v>0.43</v>
      </c>
      <c r="U157" s="7">
        <v>0.44</v>
      </c>
      <c r="V157" s="7">
        <v>0.43</v>
      </c>
      <c r="W157" s="7">
        <v>0.4</v>
      </c>
      <c r="X157" s="7">
        <v>0.36</v>
      </c>
    </row>
    <row r="158" spans="1:24" ht="14.4" x14ac:dyDescent="0.3">
      <c r="A158" s="27"/>
      <c r="B158" s="6" t="s">
        <v>64</v>
      </c>
      <c r="C158" s="8">
        <v>0.31</v>
      </c>
      <c r="D158" s="8">
        <v>0.25</v>
      </c>
      <c r="E158" s="8">
        <v>0.22</v>
      </c>
      <c r="F158" s="8">
        <v>0.22</v>
      </c>
      <c r="G158" s="8">
        <v>0.2</v>
      </c>
      <c r="H158" s="8">
        <v>0.2</v>
      </c>
      <c r="I158" s="8">
        <v>0.2</v>
      </c>
      <c r="J158" s="8">
        <v>0.21</v>
      </c>
      <c r="K158" s="8">
        <v>0.22</v>
      </c>
      <c r="L158" s="8">
        <v>0.2</v>
      </c>
      <c r="M158" s="8">
        <v>0.22</v>
      </c>
      <c r="N158" s="8">
        <v>0.24</v>
      </c>
      <c r="O158" s="8">
        <v>0.23</v>
      </c>
      <c r="P158" s="8">
        <v>0.24</v>
      </c>
      <c r="Q158" s="8">
        <v>0.25</v>
      </c>
      <c r="R158" s="8">
        <v>0.25</v>
      </c>
      <c r="S158" s="8">
        <v>0.26</v>
      </c>
      <c r="T158" s="8">
        <v>0.26</v>
      </c>
      <c r="U158" s="8">
        <v>0.26</v>
      </c>
      <c r="V158" s="8">
        <v>0.26</v>
      </c>
      <c r="W158" s="8">
        <v>0.24</v>
      </c>
      <c r="X158" s="8">
        <v>0.24</v>
      </c>
    </row>
    <row r="159" spans="1:24" ht="14.4" x14ac:dyDescent="0.3">
      <c r="A159" s="27"/>
      <c r="B159" s="6" t="s">
        <v>65</v>
      </c>
      <c r="C159" s="7">
        <v>0.66</v>
      </c>
      <c r="D159" s="7">
        <v>0.66</v>
      </c>
      <c r="E159" s="7">
        <v>0.67</v>
      </c>
      <c r="F159" s="7">
        <v>0.68</v>
      </c>
      <c r="G159" s="7">
        <v>0.7</v>
      </c>
      <c r="H159" s="7">
        <v>0.7</v>
      </c>
      <c r="I159" s="7">
        <v>0.71</v>
      </c>
      <c r="J159" s="7">
        <v>0.7</v>
      </c>
      <c r="K159" s="7">
        <v>0.7</v>
      </c>
      <c r="L159" s="7">
        <v>0.72</v>
      </c>
      <c r="M159" s="7">
        <v>0.72</v>
      </c>
      <c r="N159" s="7">
        <v>0.71</v>
      </c>
      <c r="O159" s="7">
        <v>0.7</v>
      </c>
      <c r="P159" s="7">
        <v>0.7</v>
      </c>
      <c r="Q159" s="7">
        <v>0.7</v>
      </c>
      <c r="R159" s="7">
        <v>0.71</v>
      </c>
      <c r="S159" s="7">
        <v>0.67</v>
      </c>
      <c r="T159" s="7">
        <v>0.69</v>
      </c>
      <c r="U159" s="7">
        <v>0.72</v>
      </c>
      <c r="V159" s="7">
        <v>0.7</v>
      </c>
      <c r="W159" s="7">
        <v>0.7</v>
      </c>
      <c r="X159" s="7">
        <v>0.69</v>
      </c>
    </row>
    <row r="160" spans="1:24" ht="14.4" x14ac:dyDescent="0.3">
      <c r="A160" s="27"/>
      <c r="B160" s="6" t="s">
        <v>66</v>
      </c>
      <c r="C160" s="8">
        <v>0.5</v>
      </c>
      <c r="D160" s="8">
        <v>0.46</v>
      </c>
      <c r="E160" s="8">
        <v>0.45</v>
      </c>
      <c r="F160" s="8">
        <v>0.46</v>
      </c>
      <c r="G160" s="8">
        <v>0.47</v>
      </c>
      <c r="H160" s="8">
        <v>0.46</v>
      </c>
      <c r="I160" s="8">
        <v>0.47</v>
      </c>
      <c r="J160" s="8">
        <v>0.47</v>
      </c>
      <c r="K160" s="8">
        <v>0.48</v>
      </c>
      <c r="L160" s="8">
        <v>0.48</v>
      </c>
      <c r="M160" s="8">
        <v>0.49</v>
      </c>
      <c r="N160" s="8">
        <v>0.49</v>
      </c>
      <c r="O160" s="8">
        <v>0.48</v>
      </c>
      <c r="P160" s="8">
        <v>0.48</v>
      </c>
      <c r="Q160" s="8">
        <v>0.48</v>
      </c>
      <c r="R160" s="8">
        <v>0.49</v>
      </c>
      <c r="S160" s="8">
        <v>0.48</v>
      </c>
      <c r="T160" s="8">
        <v>0.48</v>
      </c>
      <c r="U160" s="8">
        <v>0.49</v>
      </c>
      <c r="V160" s="8">
        <v>0.49</v>
      </c>
      <c r="W160" s="8">
        <v>0.47</v>
      </c>
      <c r="X160" s="8">
        <v>0.45</v>
      </c>
    </row>
    <row r="161" spans="1:24" ht="14.4" x14ac:dyDescent="0.3">
      <c r="A161" s="27"/>
      <c r="B161" s="6" t="s">
        <v>67</v>
      </c>
      <c r="C161" s="7">
        <v>0.03</v>
      </c>
      <c r="D161" s="7">
        <v>0.03</v>
      </c>
      <c r="E161" s="7">
        <v>0.05</v>
      </c>
      <c r="F161" s="7">
        <v>0.05</v>
      </c>
      <c r="G161" s="7">
        <v>0.05</v>
      </c>
      <c r="H161" s="7">
        <v>0.02</v>
      </c>
      <c r="I161" s="7">
        <v>0.04</v>
      </c>
      <c r="J161" s="7">
        <v>0.02</v>
      </c>
      <c r="K161" s="7">
        <v>0.02</v>
      </c>
      <c r="L161" s="7">
        <v>0.02</v>
      </c>
      <c r="M161" s="7">
        <v>0.02</v>
      </c>
      <c r="N161" s="7">
        <v>0.02</v>
      </c>
      <c r="O161" s="7">
        <v>0.02</v>
      </c>
      <c r="P161" s="7">
        <v>0.02</v>
      </c>
      <c r="Q161" s="7">
        <v>0.02</v>
      </c>
      <c r="R161" s="7">
        <v>0.02</v>
      </c>
      <c r="S161" s="7">
        <v>0.02</v>
      </c>
      <c r="T161" s="7">
        <v>7.0000000000000007E-2</v>
      </c>
      <c r="U161" s="7">
        <v>0.04</v>
      </c>
      <c r="V161" s="7">
        <v>0.04</v>
      </c>
      <c r="W161" s="7">
        <v>0.04</v>
      </c>
      <c r="X161" s="7">
        <v>0.02</v>
      </c>
    </row>
    <row r="162" spans="1:24" ht="14.4" x14ac:dyDescent="0.3">
      <c r="A162" s="27"/>
      <c r="B162" s="6" t="s">
        <v>68</v>
      </c>
      <c r="C162" s="8">
        <v>0.11</v>
      </c>
      <c r="D162" s="8">
        <v>0.1</v>
      </c>
      <c r="E162" s="8">
        <v>0.08</v>
      </c>
      <c r="F162" s="8">
        <v>0.08</v>
      </c>
      <c r="G162" s="8">
        <v>0.09</v>
      </c>
      <c r="H162" s="8">
        <v>0.15</v>
      </c>
      <c r="I162" s="8">
        <v>0.25</v>
      </c>
      <c r="J162" s="8">
        <v>0.3</v>
      </c>
      <c r="K162" s="8">
        <v>0.28000000000000003</v>
      </c>
      <c r="L162" s="8">
        <v>0.25</v>
      </c>
      <c r="M162" s="8">
        <v>0.24</v>
      </c>
      <c r="N162" s="8">
        <v>0.21</v>
      </c>
      <c r="O162" s="8">
        <v>0.19</v>
      </c>
      <c r="P162" s="8">
        <v>0.18</v>
      </c>
      <c r="Q162" s="8">
        <v>0.18</v>
      </c>
      <c r="R162" s="8">
        <v>0.18</v>
      </c>
      <c r="S162" s="8">
        <v>0.18</v>
      </c>
      <c r="T162" s="8">
        <v>0.17</v>
      </c>
      <c r="U162" s="8">
        <v>0.16</v>
      </c>
      <c r="V162" s="8">
        <v>0.15</v>
      </c>
      <c r="W162" s="8">
        <v>0.32</v>
      </c>
      <c r="X162" s="8">
        <v>0.32</v>
      </c>
    </row>
    <row r="163" spans="1:24" ht="14.4" x14ac:dyDescent="0.3">
      <c r="A163" s="27"/>
      <c r="B163" s="6" t="s">
        <v>69</v>
      </c>
      <c r="C163" s="7">
        <v>0.09</v>
      </c>
      <c r="D163" s="7">
        <v>0.05</v>
      </c>
      <c r="E163" s="7">
        <v>0.11</v>
      </c>
      <c r="F163" s="7">
        <v>0.11</v>
      </c>
      <c r="G163" s="7">
        <v>0.11</v>
      </c>
      <c r="H163" s="7">
        <v>0.23</v>
      </c>
      <c r="I163" s="7">
        <v>0.3</v>
      </c>
      <c r="J163" s="7">
        <v>0.11</v>
      </c>
      <c r="K163" s="7">
        <v>0.22</v>
      </c>
      <c r="L163" s="7">
        <v>0.1</v>
      </c>
      <c r="M163" s="7">
        <v>0.18</v>
      </c>
      <c r="N163" s="7">
        <v>7.0000000000000007E-2</v>
      </c>
      <c r="O163" s="7">
        <v>7.0000000000000007E-2</v>
      </c>
      <c r="P163" s="7">
        <v>7.0000000000000007E-2</v>
      </c>
      <c r="Q163" s="7">
        <v>7.0000000000000007E-2</v>
      </c>
      <c r="R163" s="7">
        <v>7.0000000000000007E-2</v>
      </c>
      <c r="S163" s="7">
        <v>7.0000000000000007E-2</v>
      </c>
      <c r="T163" s="7">
        <v>7.0000000000000007E-2</v>
      </c>
      <c r="U163" s="7">
        <v>7.0000000000000007E-2</v>
      </c>
      <c r="V163" s="7">
        <v>0.03</v>
      </c>
      <c r="W163" s="7">
        <v>0.04</v>
      </c>
      <c r="X163" s="7">
        <v>0.04</v>
      </c>
    </row>
    <row r="164" spans="1:24" ht="14.4" x14ac:dyDescent="0.3">
      <c r="A164" s="27"/>
      <c r="B164" s="6" t="s">
        <v>70</v>
      </c>
      <c r="C164" s="8">
        <v>0.08</v>
      </c>
      <c r="D164" s="8">
        <v>0.06</v>
      </c>
      <c r="E164" s="8">
        <v>0.08</v>
      </c>
      <c r="F164" s="8">
        <v>0.08</v>
      </c>
      <c r="G164" s="8">
        <v>0.08</v>
      </c>
      <c r="H164" s="8">
        <v>0.14000000000000001</v>
      </c>
      <c r="I164" s="8">
        <v>0.21</v>
      </c>
      <c r="J164" s="8">
        <v>0.16</v>
      </c>
      <c r="K164" s="8">
        <v>0.18</v>
      </c>
      <c r="L164" s="8">
        <v>0.13</v>
      </c>
      <c r="M164" s="8">
        <v>0.16</v>
      </c>
      <c r="N164" s="8">
        <v>0.11</v>
      </c>
      <c r="O164" s="8">
        <v>0.1</v>
      </c>
      <c r="P164" s="8">
        <v>0.1</v>
      </c>
      <c r="Q164" s="8">
        <v>0.1</v>
      </c>
      <c r="R164" s="8">
        <v>0.1</v>
      </c>
      <c r="S164" s="8">
        <v>0.09</v>
      </c>
      <c r="T164" s="8">
        <v>0.11</v>
      </c>
      <c r="U164" s="8">
        <v>0.09</v>
      </c>
      <c r="V164" s="8">
        <v>0.08</v>
      </c>
      <c r="W164" s="8">
        <v>0.15</v>
      </c>
      <c r="X164" s="8">
        <v>0.14000000000000001</v>
      </c>
    </row>
    <row r="165" spans="1:24" ht="14.4" x14ac:dyDescent="0.3">
      <c r="A165" s="28" t="s">
        <v>33</v>
      </c>
      <c r="B165" s="6" t="s">
        <v>6</v>
      </c>
      <c r="C165" s="7">
        <v>0.27</v>
      </c>
      <c r="D165" s="7">
        <v>0.26</v>
      </c>
      <c r="E165" s="7">
        <v>0.26</v>
      </c>
      <c r="F165" s="7">
        <v>0.28000000000000003</v>
      </c>
      <c r="G165" s="7">
        <v>0.27</v>
      </c>
      <c r="H165" s="7">
        <v>0.26</v>
      </c>
      <c r="I165" s="7">
        <v>0.27</v>
      </c>
      <c r="J165" s="7">
        <v>0.28999999999999998</v>
      </c>
      <c r="K165" s="7">
        <v>0.31</v>
      </c>
      <c r="L165" s="7">
        <v>0.33</v>
      </c>
      <c r="M165" s="7">
        <v>0.35</v>
      </c>
      <c r="N165" s="7">
        <v>0.33</v>
      </c>
      <c r="O165" s="7">
        <v>0.33</v>
      </c>
      <c r="P165" s="7">
        <v>0.33</v>
      </c>
      <c r="Q165" s="7">
        <v>0.33</v>
      </c>
      <c r="R165" s="7">
        <v>0.34</v>
      </c>
      <c r="S165" s="7">
        <v>0.35</v>
      </c>
      <c r="T165" s="7">
        <v>0.35</v>
      </c>
      <c r="U165" s="7">
        <v>0.35</v>
      </c>
      <c r="V165" s="7">
        <v>0.35</v>
      </c>
      <c r="W165" s="7">
        <v>0.35</v>
      </c>
      <c r="X165" s="7">
        <v>0.35</v>
      </c>
    </row>
    <row r="166" spans="1:24" ht="14.4" x14ac:dyDescent="0.3">
      <c r="A166" s="27"/>
      <c r="B166" s="6" t="s">
        <v>63</v>
      </c>
      <c r="C166" s="8">
        <v>0.15</v>
      </c>
      <c r="D166" s="8">
        <v>0.16</v>
      </c>
      <c r="E166" s="8">
        <v>0.15</v>
      </c>
      <c r="F166" s="8">
        <v>0.15</v>
      </c>
      <c r="G166" s="8">
        <v>0.15</v>
      </c>
      <c r="H166" s="8">
        <v>0.19</v>
      </c>
      <c r="I166" s="8">
        <v>0.19</v>
      </c>
      <c r="J166" s="8">
        <v>0.21</v>
      </c>
      <c r="K166" s="8">
        <v>0.24</v>
      </c>
      <c r="L166" s="8">
        <v>0.31</v>
      </c>
      <c r="M166" s="8">
        <v>0.33</v>
      </c>
      <c r="N166" s="8">
        <v>0.35</v>
      </c>
      <c r="O166" s="8">
        <v>0.37</v>
      </c>
      <c r="P166" s="8">
        <v>0.38</v>
      </c>
      <c r="Q166" s="8">
        <v>0.39</v>
      </c>
      <c r="R166" s="8">
        <v>0.4</v>
      </c>
      <c r="S166" s="8">
        <v>0.41</v>
      </c>
      <c r="T166" s="8">
        <v>0.41</v>
      </c>
      <c r="U166" s="8">
        <v>0.42</v>
      </c>
      <c r="V166" s="8">
        <v>0.42</v>
      </c>
      <c r="W166" s="8">
        <v>0.41</v>
      </c>
      <c r="X166" s="8">
        <v>0.39</v>
      </c>
    </row>
    <row r="167" spans="1:24" ht="14.4" x14ac:dyDescent="0.3">
      <c r="A167" s="27"/>
      <c r="B167" s="6" t="s">
        <v>64</v>
      </c>
      <c r="C167" s="7">
        <v>0.17</v>
      </c>
      <c r="D167" s="7">
        <v>0.16</v>
      </c>
      <c r="E167" s="7">
        <v>0.16</v>
      </c>
      <c r="F167" s="7">
        <v>0.16</v>
      </c>
      <c r="G167" s="7">
        <v>0.15</v>
      </c>
      <c r="H167" s="7">
        <v>0.16</v>
      </c>
      <c r="I167" s="7">
        <v>0.17</v>
      </c>
      <c r="J167" s="7">
        <v>0.19</v>
      </c>
      <c r="K167" s="7">
        <v>0.21</v>
      </c>
      <c r="L167" s="7">
        <v>0.21</v>
      </c>
      <c r="M167" s="7">
        <v>0.22</v>
      </c>
      <c r="N167" s="7">
        <v>0.23</v>
      </c>
      <c r="O167" s="7">
        <v>0.24</v>
      </c>
      <c r="P167" s="7">
        <v>0.23</v>
      </c>
      <c r="Q167" s="7">
        <v>0.23</v>
      </c>
      <c r="R167" s="7">
        <v>0.23</v>
      </c>
      <c r="S167" s="7">
        <v>0.24</v>
      </c>
      <c r="T167" s="7">
        <v>0.24</v>
      </c>
      <c r="U167" s="7">
        <v>0.24</v>
      </c>
      <c r="V167" s="7">
        <v>0.25</v>
      </c>
      <c r="W167" s="7">
        <v>0.27</v>
      </c>
      <c r="X167" s="7">
        <v>0.26</v>
      </c>
    </row>
    <row r="168" spans="1:24" ht="14.4" x14ac:dyDescent="0.3">
      <c r="A168" s="27"/>
      <c r="B168" s="6" t="s">
        <v>65</v>
      </c>
      <c r="C168" s="8">
        <v>0.55000000000000004</v>
      </c>
      <c r="D168" s="8">
        <v>0.57999999999999996</v>
      </c>
      <c r="E168" s="8">
        <v>0.55000000000000004</v>
      </c>
      <c r="F168" s="8">
        <v>0.57999999999999996</v>
      </c>
      <c r="G168" s="8">
        <v>0.59</v>
      </c>
      <c r="H168" s="8">
        <v>0.57999999999999996</v>
      </c>
      <c r="I168" s="8">
        <v>0.62</v>
      </c>
      <c r="J168" s="8">
        <v>0.64</v>
      </c>
      <c r="K168" s="8">
        <v>0.57999999999999996</v>
      </c>
      <c r="L168" s="8">
        <v>0.61</v>
      </c>
      <c r="M168" s="8">
        <v>0.61</v>
      </c>
      <c r="N168" s="8">
        <v>0.56999999999999995</v>
      </c>
      <c r="O168" s="8">
        <v>0.56000000000000005</v>
      </c>
      <c r="P168" s="8">
        <v>0.56000000000000005</v>
      </c>
      <c r="Q168" s="8">
        <v>0.56000000000000005</v>
      </c>
      <c r="R168" s="8">
        <v>0.56000000000000005</v>
      </c>
      <c r="S168" s="8">
        <v>0.56000000000000005</v>
      </c>
      <c r="T168" s="8">
        <v>0.55000000000000004</v>
      </c>
      <c r="U168" s="8">
        <v>0.56000000000000005</v>
      </c>
      <c r="V168" s="8">
        <v>0.56000000000000005</v>
      </c>
      <c r="W168" s="8">
        <v>0.53</v>
      </c>
      <c r="X168" s="8">
        <v>0.56000000000000005</v>
      </c>
    </row>
    <row r="169" spans="1:24" ht="14.4" x14ac:dyDescent="0.3">
      <c r="A169" s="27"/>
      <c r="B169" s="6" t="s">
        <v>66</v>
      </c>
      <c r="C169" s="7">
        <v>0.28999999999999998</v>
      </c>
      <c r="D169" s="7">
        <v>0.3</v>
      </c>
      <c r="E169" s="7">
        <v>0.28000000000000003</v>
      </c>
      <c r="F169" s="7">
        <v>0.28999999999999998</v>
      </c>
      <c r="G169" s="7">
        <v>0.28999999999999998</v>
      </c>
      <c r="H169" s="7">
        <v>0.31</v>
      </c>
      <c r="I169" s="7">
        <v>0.32</v>
      </c>
      <c r="J169" s="7">
        <v>0.35</v>
      </c>
      <c r="K169" s="7">
        <v>0.35</v>
      </c>
      <c r="L169" s="7">
        <v>0.39</v>
      </c>
      <c r="M169" s="7">
        <v>0.4</v>
      </c>
      <c r="N169" s="7">
        <v>0.41</v>
      </c>
      <c r="O169" s="7">
        <v>0.41</v>
      </c>
      <c r="P169" s="7">
        <v>0.42</v>
      </c>
      <c r="Q169" s="7">
        <v>0.42</v>
      </c>
      <c r="R169" s="7">
        <v>0.42</v>
      </c>
      <c r="S169" s="7">
        <v>0.43</v>
      </c>
      <c r="T169" s="7">
        <v>0.43</v>
      </c>
      <c r="U169" s="7">
        <v>0.44</v>
      </c>
      <c r="V169" s="7">
        <v>0.44</v>
      </c>
      <c r="W169" s="7">
        <v>0.44</v>
      </c>
      <c r="X169" s="7">
        <v>0.43</v>
      </c>
    </row>
    <row r="170" spans="1:24" ht="14.4" x14ac:dyDescent="0.3">
      <c r="A170" s="27"/>
      <c r="B170" s="6" t="s">
        <v>67</v>
      </c>
      <c r="C170" s="8">
        <v>0.42</v>
      </c>
      <c r="D170" s="8">
        <v>0.41</v>
      </c>
      <c r="E170" s="8">
        <v>0.42</v>
      </c>
      <c r="F170" s="8">
        <v>0.49</v>
      </c>
      <c r="G170" s="8">
        <v>0.42</v>
      </c>
      <c r="H170" s="8">
        <v>0.38</v>
      </c>
      <c r="I170" s="8">
        <v>0.38</v>
      </c>
      <c r="J170" s="8">
        <v>0.41</v>
      </c>
      <c r="K170" s="8">
        <v>0.48</v>
      </c>
      <c r="L170" s="8">
        <v>0.48</v>
      </c>
      <c r="M170" s="8">
        <v>0.49</v>
      </c>
      <c r="N170" s="8">
        <v>0.47</v>
      </c>
      <c r="O170" s="8">
        <v>0.47</v>
      </c>
      <c r="P170" s="8">
        <v>0.47</v>
      </c>
      <c r="Q170" s="8">
        <v>0.47</v>
      </c>
      <c r="R170" s="8">
        <v>0.49</v>
      </c>
      <c r="S170" s="8">
        <v>0.5</v>
      </c>
      <c r="T170" s="8">
        <v>0.48</v>
      </c>
      <c r="U170" s="8">
        <v>0.5</v>
      </c>
      <c r="V170" s="8">
        <v>0.51</v>
      </c>
      <c r="W170" s="8">
        <v>0.5</v>
      </c>
      <c r="X170" s="8">
        <v>0.51</v>
      </c>
    </row>
    <row r="171" spans="1:24" ht="14.4" x14ac:dyDescent="0.3">
      <c r="A171" s="27"/>
      <c r="B171" s="6" t="s">
        <v>68</v>
      </c>
      <c r="C171" s="7">
        <v>0.18</v>
      </c>
      <c r="D171" s="7">
        <v>0.18</v>
      </c>
      <c r="E171" s="7">
        <v>0.18</v>
      </c>
      <c r="F171" s="7">
        <v>0.21</v>
      </c>
      <c r="G171" s="7">
        <v>0.18</v>
      </c>
      <c r="H171" s="7">
        <v>0.17</v>
      </c>
      <c r="I171" s="7">
        <v>0.17</v>
      </c>
      <c r="J171" s="7">
        <v>0.18</v>
      </c>
      <c r="K171" s="7">
        <v>0.2</v>
      </c>
      <c r="L171" s="7">
        <v>0.2</v>
      </c>
      <c r="M171" s="7">
        <v>0.22</v>
      </c>
      <c r="N171" s="7">
        <v>0.17</v>
      </c>
      <c r="O171" s="7">
        <v>0.16</v>
      </c>
      <c r="P171" s="7">
        <v>0.15</v>
      </c>
      <c r="Q171" s="7">
        <v>0.17</v>
      </c>
      <c r="R171" s="7">
        <v>0.17</v>
      </c>
      <c r="S171" s="7">
        <v>0.19</v>
      </c>
      <c r="T171" s="7">
        <v>0.2</v>
      </c>
      <c r="U171" s="7">
        <v>0.17</v>
      </c>
      <c r="V171" s="7">
        <v>0.18</v>
      </c>
      <c r="W171" s="7">
        <v>0.2</v>
      </c>
      <c r="X171" s="7">
        <v>0.19</v>
      </c>
    </row>
    <row r="172" spans="1:24" ht="14.4" x14ac:dyDescent="0.3">
      <c r="A172" s="27"/>
      <c r="B172" s="6" t="s">
        <v>69</v>
      </c>
      <c r="C172" s="8">
        <v>0.09</v>
      </c>
      <c r="D172" s="8">
        <v>0.09</v>
      </c>
      <c r="E172" s="8">
        <v>0.09</v>
      </c>
      <c r="F172" s="8">
        <v>0.1</v>
      </c>
      <c r="G172" s="8">
        <v>0.09</v>
      </c>
      <c r="H172" s="8">
        <v>0.08</v>
      </c>
      <c r="I172" s="8">
        <v>0.08</v>
      </c>
      <c r="J172" s="8">
        <v>0.09</v>
      </c>
      <c r="K172" s="8">
        <v>0.1</v>
      </c>
      <c r="L172" s="8">
        <v>0.1</v>
      </c>
      <c r="M172" s="8">
        <v>0.11</v>
      </c>
      <c r="N172" s="8">
        <v>0.08</v>
      </c>
      <c r="O172" s="8">
        <v>0.08</v>
      </c>
      <c r="P172" s="8">
        <v>7.0000000000000007E-2</v>
      </c>
      <c r="Q172" s="8">
        <v>7.0000000000000007E-2</v>
      </c>
      <c r="R172" s="8">
        <v>0.08</v>
      </c>
      <c r="S172" s="8">
        <v>0.08</v>
      </c>
      <c r="T172" s="8">
        <v>0.08</v>
      </c>
      <c r="U172" s="8">
        <v>0.08</v>
      </c>
      <c r="V172" s="8">
        <v>0.06</v>
      </c>
      <c r="W172" s="8">
        <v>7.0000000000000007E-2</v>
      </c>
      <c r="X172" s="8">
        <v>7.0000000000000007E-2</v>
      </c>
    </row>
    <row r="173" spans="1:24" ht="14.4" x14ac:dyDescent="0.3">
      <c r="A173" s="27"/>
      <c r="B173" s="6" t="s">
        <v>70</v>
      </c>
      <c r="C173" s="7">
        <v>0.23</v>
      </c>
      <c r="D173" s="7">
        <v>0.22</v>
      </c>
      <c r="E173" s="7">
        <v>0.23</v>
      </c>
      <c r="F173" s="7">
        <v>0.27</v>
      </c>
      <c r="G173" s="7">
        <v>0.23</v>
      </c>
      <c r="H173" s="7">
        <v>0.21</v>
      </c>
      <c r="I173" s="7">
        <v>0.21</v>
      </c>
      <c r="J173" s="7">
        <v>0.23</v>
      </c>
      <c r="K173" s="7">
        <v>0.26</v>
      </c>
      <c r="L173" s="7">
        <v>0.26</v>
      </c>
      <c r="M173" s="7">
        <v>0.27</v>
      </c>
      <c r="N173" s="7">
        <v>0.24</v>
      </c>
      <c r="O173" s="7">
        <v>0.24</v>
      </c>
      <c r="P173" s="7">
        <v>0.23</v>
      </c>
      <c r="Q173" s="7">
        <v>0.24</v>
      </c>
      <c r="R173" s="7">
        <v>0.24</v>
      </c>
      <c r="S173" s="7">
        <v>0.26</v>
      </c>
      <c r="T173" s="7">
        <v>0.26</v>
      </c>
      <c r="U173" s="7">
        <v>0.25</v>
      </c>
      <c r="V173" s="7">
        <v>0.25</v>
      </c>
      <c r="W173" s="7">
        <v>0.25</v>
      </c>
      <c r="X173" s="7">
        <v>0.26</v>
      </c>
    </row>
    <row r="174" spans="1:24" ht="14.4" x14ac:dyDescent="0.3">
      <c r="A174" s="28" t="s">
        <v>35</v>
      </c>
      <c r="B174" s="6" t="s">
        <v>6</v>
      </c>
      <c r="C174" s="8">
        <v>0.11</v>
      </c>
      <c r="D174" s="8">
        <v>0.1</v>
      </c>
      <c r="E174" s="8">
        <v>0.1</v>
      </c>
      <c r="F174" s="8">
        <v>0.1</v>
      </c>
      <c r="G174" s="8">
        <v>0.1</v>
      </c>
      <c r="H174" s="8">
        <v>0.11</v>
      </c>
      <c r="I174" s="8">
        <v>0.1</v>
      </c>
      <c r="J174" s="8">
        <v>0.1</v>
      </c>
      <c r="K174" s="8">
        <v>0.09</v>
      </c>
      <c r="L174" s="8">
        <v>0.11</v>
      </c>
      <c r="M174" s="8">
        <v>0.09</v>
      </c>
      <c r="N174" s="8">
        <v>0.1</v>
      </c>
      <c r="O174" s="8">
        <v>0.1</v>
      </c>
      <c r="P174" s="8">
        <v>0.11</v>
      </c>
      <c r="Q174" s="8">
        <v>0.12</v>
      </c>
      <c r="R174" s="8">
        <v>0.1</v>
      </c>
      <c r="S174" s="8">
        <v>0.11</v>
      </c>
      <c r="T174" s="8">
        <v>0.12</v>
      </c>
      <c r="U174" s="8">
        <v>0.13</v>
      </c>
      <c r="V174" s="8">
        <v>0.12</v>
      </c>
      <c r="W174" s="8">
        <v>0.13</v>
      </c>
      <c r="X174" s="8">
        <v>0.13</v>
      </c>
    </row>
    <row r="175" spans="1:24" ht="14.4" x14ac:dyDescent="0.3">
      <c r="A175" s="27"/>
      <c r="B175" s="6" t="s">
        <v>63</v>
      </c>
      <c r="C175" s="7">
        <v>0.02</v>
      </c>
      <c r="D175" s="7">
        <v>0.02</v>
      </c>
      <c r="E175" s="7">
        <v>0.02</v>
      </c>
      <c r="F175" s="7">
        <v>0.02</v>
      </c>
      <c r="G175" s="7">
        <v>0.02</v>
      </c>
      <c r="H175" s="7">
        <v>0.02</v>
      </c>
      <c r="I175" s="7">
        <v>0.02</v>
      </c>
      <c r="J175" s="7">
        <v>0.02</v>
      </c>
      <c r="K175" s="7">
        <v>0.02</v>
      </c>
      <c r="L175" s="7">
        <v>0.02</v>
      </c>
      <c r="M175" s="7">
        <v>0.02</v>
      </c>
      <c r="N175" s="7">
        <v>0.02</v>
      </c>
      <c r="O175" s="7">
        <v>0.02</v>
      </c>
      <c r="P175" s="7">
        <v>0.03</v>
      </c>
      <c r="Q175" s="7">
        <v>0.05</v>
      </c>
      <c r="R175" s="7">
        <v>0.05</v>
      </c>
      <c r="S175" s="7">
        <v>0.05</v>
      </c>
      <c r="T175" s="7">
        <v>7.0000000000000007E-2</v>
      </c>
      <c r="U175" s="7">
        <v>0.08</v>
      </c>
      <c r="V175" s="7">
        <v>0.1</v>
      </c>
      <c r="W175" s="7">
        <v>0.1</v>
      </c>
      <c r="X175" s="7">
        <v>0.1</v>
      </c>
    </row>
    <row r="176" spans="1:24" ht="14.4" x14ac:dyDescent="0.3">
      <c r="A176" s="27"/>
      <c r="B176" s="6" t="s">
        <v>64</v>
      </c>
      <c r="C176" s="8">
        <v>0.02</v>
      </c>
      <c r="D176" s="8">
        <v>0.02</v>
      </c>
      <c r="E176" s="8">
        <v>0.02</v>
      </c>
      <c r="F176" s="8">
        <v>0.01</v>
      </c>
      <c r="G176" s="8">
        <v>0.01</v>
      </c>
      <c r="H176" s="8">
        <v>0.01</v>
      </c>
      <c r="I176" s="8">
        <v>0.01</v>
      </c>
      <c r="J176" s="8">
        <v>0.01</v>
      </c>
      <c r="K176" s="8">
        <v>0.01</v>
      </c>
      <c r="L176" s="8">
        <v>0.01</v>
      </c>
      <c r="M176" s="8">
        <v>0.01</v>
      </c>
      <c r="N176" s="8">
        <v>0.02</v>
      </c>
      <c r="O176" s="8">
        <v>0.02</v>
      </c>
      <c r="P176" s="8">
        <v>0.03</v>
      </c>
      <c r="Q176" s="8">
        <v>0.04</v>
      </c>
      <c r="R176" s="8">
        <v>0.04</v>
      </c>
      <c r="S176" s="8">
        <v>0.05</v>
      </c>
      <c r="T176" s="8">
        <v>0.06</v>
      </c>
      <c r="U176" s="8">
        <v>0.06</v>
      </c>
      <c r="V176" s="8">
        <v>7.0000000000000007E-2</v>
      </c>
      <c r="W176" s="8">
        <v>0.08</v>
      </c>
      <c r="X176" s="8">
        <v>0.08</v>
      </c>
    </row>
    <row r="177" spans="1:24" ht="14.4" x14ac:dyDescent="0.3">
      <c r="A177" s="27"/>
      <c r="B177" s="6" t="s">
        <v>65</v>
      </c>
      <c r="C177" s="7">
        <v>0.71</v>
      </c>
      <c r="D177" s="7">
        <v>0.64</v>
      </c>
      <c r="E177" s="7">
        <v>0.64</v>
      </c>
      <c r="F177" s="7">
        <v>0.64</v>
      </c>
      <c r="G177" s="7">
        <v>0.64</v>
      </c>
      <c r="H177" s="7">
        <v>0.75</v>
      </c>
      <c r="I177" s="7">
        <v>0.66</v>
      </c>
      <c r="J177" s="7">
        <v>0.67</v>
      </c>
      <c r="K177" s="7">
        <v>0.65</v>
      </c>
      <c r="L177" s="7">
        <v>0.72</v>
      </c>
      <c r="M177" s="7">
        <v>0.56999999999999995</v>
      </c>
      <c r="N177" s="7">
        <v>0.65</v>
      </c>
      <c r="O177" s="7">
        <v>0.65</v>
      </c>
      <c r="P177" s="7">
        <v>0.71</v>
      </c>
      <c r="Q177" s="7">
        <v>0.71</v>
      </c>
      <c r="R177" s="7">
        <v>0.57999999999999996</v>
      </c>
      <c r="S177" s="7">
        <v>0.62</v>
      </c>
      <c r="T177" s="7">
        <v>0.63</v>
      </c>
      <c r="U177" s="7">
        <v>0.67</v>
      </c>
      <c r="V177" s="7">
        <v>0.61</v>
      </c>
      <c r="W177" s="7">
        <v>0.64</v>
      </c>
      <c r="X177" s="7">
        <v>0.63</v>
      </c>
    </row>
    <row r="178" spans="1:24" ht="14.4" x14ac:dyDescent="0.3">
      <c r="A178" s="27"/>
      <c r="B178" s="6" t="s">
        <v>66</v>
      </c>
      <c r="C178" s="8">
        <v>0.21</v>
      </c>
      <c r="D178" s="8">
        <v>0.19</v>
      </c>
      <c r="E178" s="8">
        <v>0.19</v>
      </c>
      <c r="F178" s="8">
        <v>0.19</v>
      </c>
      <c r="G178" s="8">
        <v>0.19</v>
      </c>
      <c r="H178" s="8">
        <v>0.22</v>
      </c>
      <c r="I178" s="8">
        <v>0.19</v>
      </c>
      <c r="J178" s="8">
        <v>0.19</v>
      </c>
      <c r="K178" s="8">
        <v>0.19</v>
      </c>
      <c r="L178" s="8">
        <v>0.21</v>
      </c>
      <c r="M178" s="8">
        <v>0.17</v>
      </c>
      <c r="N178" s="8">
        <v>0.19</v>
      </c>
      <c r="O178" s="8">
        <v>0.2</v>
      </c>
      <c r="P178" s="8">
        <v>0.22</v>
      </c>
      <c r="Q178" s="8">
        <v>0.23</v>
      </c>
      <c r="R178" s="8">
        <v>0.19</v>
      </c>
      <c r="S178" s="8">
        <v>0.21</v>
      </c>
      <c r="T178" s="8">
        <v>0.23</v>
      </c>
      <c r="U178" s="8">
        <v>0.25</v>
      </c>
      <c r="V178" s="8">
        <v>0.24</v>
      </c>
      <c r="W178" s="8">
        <v>0.25</v>
      </c>
      <c r="X178" s="8">
        <v>0.25</v>
      </c>
    </row>
    <row r="179" spans="1:24" ht="14.4" x14ac:dyDescent="0.3">
      <c r="A179" s="27"/>
      <c r="B179" s="6" t="s">
        <v>67</v>
      </c>
      <c r="C179" s="7">
        <v>0</v>
      </c>
      <c r="D179" s="7">
        <v>0</v>
      </c>
      <c r="E179" s="7">
        <v>0</v>
      </c>
      <c r="F179" s="7">
        <v>0</v>
      </c>
      <c r="G179" s="7">
        <v>0</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row>
    <row r="180" spans="1:24" ht="14.4" x14ac:dyDescent="0.3">
      <c r="A180" s="27"/>
      <c r="B180" s="6" t="s">
        <v>68</v>
      </c>
      <c r="C180" s="8">
        <v>0</v>
      </c>
      <c r="D180" s="8">
        <v>0</v>
      </c>
      <c r="E180" s="8">
        <v>0</v>
      </c>
      <c r="F180" s="8">
        <v>0</v>
      </c>
      <c r="G180" s="8">
        <v>0</v>
      </c>
      <c r="H180" s="8">
        <v>0</v>
      </c>
      <c r="I180" s="8">
        <v>0</v>
      </c>
      <c r="J180" s="8">
        <v>0</v>
      </c>
      <c r="K180" s="8">
        <v>0</v>
      </c>
      <c r="L180" s="8">
        <v>0</v>
      </c>
      <c r="M180" s="8">
        <v>0</v>
      </c>
      <c r="N180" s="8">
        <v>0</v>
      </c>
      <c r="O180" s="8">
        <v>0</v>
      </c>
      <c r="P180" s="8">
        <v>0</v>
      </c>
      <c r="Q180" s="8">
        <v>0</v>
      </c>
      <c r="R180" s="8">
        <v>0</v>
      </c>
      <c r="S180" s="8">
        <v>0.01</v>
      </c>
      <c r="T180" s="8">
        <v>0.01</v>
      </c>
      <c r="U180" s="8">
        <v>0</v>
      </c>
      <c r="V180" s="8">
        <v>0</v>
      </c>
      <c r="W180" s="8">
        <v>0</v>
      </c>
      <c r="X180" s="8">
        <v>0</v>
      </c>
    </row>
    <row r="181" spans="1:24" ht="14.4" x14ac:dyDescent="0.3">
      <c r="A181" s="27"/>
      <c r="B181" s="6" t="s">
        <v>69</v>
      </c>
      <c r="C181" s="7">
        <v>0</v>
      </c>
      <c r="D181" s="7">
        <v>0</v>
      </c>
      <c r="E181" s="7">
        <v>0</v>
      </c>
      <c r="F181" s="7">
        <v>0</v>
      </c>
      <c r="G181" s="7">
        <v>0</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row>
    <row r="182" spans="1:24" ht="14.4" x14ac:dyDescent="0.3">
      <c r="A182" s="27"/>
      <c r="B182" s="6" t="s">
        <v>70</v>
      </c>
      <c r="C182" s="8">
        <v>0</v>
      </c>
      <c r="D182" s="8">
        <v>0</v>
      </c>
      <c r="E182" s="8">
        <v>0</v>
      </c>
      <c r="F182" s="8">
        <v>0</v>
      </c>
      <c r="G182" s="8">
        <v>0</v>
      </c>
      <c r="H182" s="8">
        <v>0</v>
      </c>
      <c r="I182" s="8">
        <v>0</v>
      </c>
      <c r="J182" s="8">
        <v>0</v>
      </c>
      <c r="K182" s="8">
        <v>0</v>
      </c>
      <c r="L182" s="8">
        <v>0</v>
      </c>
      <c r="M182" s="8">
        <v>0</v>
      </c>
      <c r="N182" s="8">
        <v>0</v>
      </c>
      <c r="O182" s="8">
        <v>0</v>
      </c>
      <c r="P182" s="8">
        <v>0</v>
      </c>
      <c r="Q182" s="8">
        <v>0</v>
      </c>
      <c r="R182" s="8">
        <v>0</v>
      </c>
      <c r="S182" s="8">
        <v>0</v>
      </c>
      <c r="T182" s="8">
        <v>0</v>
      </c>
      <c r="U182" s="8">
        <v>0</v>
      </c>
      <c r="V182" s="8">
        <v>0</v>
      </c>
      <c r="W182" s="8">
        <v>0</v>
      </c>
      <c r="X182" s="8">
        <v>0</v>
      </c>
    </row>
    <row r="183" spans="1:24" ht="14.4" x14ac:dyDescent="0.3">
      <c r="A183" s="28" t="s">
        <v>75</v>
      </c>
      <c r="B183" s="6" t="s">
        <v>6</v>
      </c>
      <c r="C183" s="7">
        <v>0.11</v>
      </c>
      <c r="D183" s="7">
        <v>0.11</v>
      </c>
      <c r="E183" s="7">
        <v>0.11</v>
      </c>
      <c r="F183" s="7">
        <v>7.0000000000000007E-2</v>
      </c>
      <c r="G183" s="7">
        <v>0.11</v>
      </c>
      <c r="H183" s="7">
        <v>0.12</v>
      </c>
      <c r="I183" s="7">
        <v>0.12</v>
      </c>
      <c r="J183" s="7">
        <v>0.12</v>
      </c>
      <c r="K183" s="7">
        <v>0.13</v>
      </c>
      <c r="L183" s="7">
        <v>0.14000000000000001</v>
      </c>
      <c r="M183" s="7">
        <v>0.14000000000000001</v>
      </c>
      <c r="N183" s="7">
        <v>0.14000000000000001</v>
      </c>
      <c r="O183" s="7">
        <v>0.14000000000000001</v>
      </c>
      <c r="P183" s="7">
        <v>0.15</v>
      </c>
      <c r="Q183" s="7">
        <v>0.15</v>
      </c>
      <c r="R183" s="7">
        <v>0.15</v>
      </c>
      <c r="S183" s="7">
        <v>0.17</v>
      </c>
      <c r="T183" s="7">
        <v>0.17</v>
      </c>
      <c r="U183" s="7">
        <v>0.19</v>
      </c>
      <c r="V183" s="7">
        <v>0.19</v>
      </c>
      <c r="W183" s="7">
        <v>0.2</v>
      </c>
      <c r="X183" s="7">
        <v>0.21</v>
      </c>
    </row>
    <row r="184" spans="1:24" ht="14.4" x14ac:dyDescent="0.3">
      <c r="A184" s="27"/>
      <c r="B184" s="6" t="s">
        <v>63</v>
      </c>
      <c r="C184" s="8">
        <v>0.04</v>
      </c>
      <c r="D184" s="8">
        <v>0.04</v>
      </c>
      <c r="E184" s="8">
        <v>0.04</v>
      </c>
      <c r="F184" s="8">
        <v>0.04</v>
      </c>
      <c r="G184" s="8">
        <v>0.04</v>
      </c>
      <c r="H184" s="8">
        <v>0.04</v>
      </c>
      <c r="I184" s="8">
        <v>0.04</v>
      </c>
      <c r="J184" s="8">
        <v>0.06</v>
      </c>
      <c r="K184" s="8">
        <v>0.06</v>
      </c>
      <c r="L184" s="8">
        <v>7.0000000000000007E-2</v>
      </c>
      <c r="M184" s="8">
        <v>0.08</v>
      </c>
      <c r="N184" s="8">
        <v>0.12</v>
      </c>
      <c r="O184" s="8">
        <v>0.13</v>
      </c>
      <c r="P184" s="8">
        <v>0.14000000000000001</v>
      </c>
      <c r="Q184" s="8">
        <v>0.15</v>
      </c>
      <c r="R184" s="8">
        <v>0.15</v>
      </c>
      <c r="S184" s="8">
        <v>0.17</v>
      </c>
      <c r="T184" s="8">
        <v>0.19</v>
      </c>
      <c r="U184" s="8">
        <v>0.24</v>
      </c>
      <c r="V184" s="8">
        <v>0.28000000000000003</v>
      </c>
      <c r="W184" s="8">
        <v>0.34</v>
      </c>
      <c r="X184" s="8">
        <v>0.35</v>
      </c>
    </row>
    <row r="185" spans="1:24" ht="14.4" x14ac:dyDescent="0.3">
      <c r="A185" s="27"/>
      <c r="B185" s="6" t="s">
        <v>64</v>
      </c>
      <c r="C185" s="7">
        <v>0.06</v>
      </c>
      <c r="D185" s="7">
        <v>7.0000000000000007E-2</v>
      </c>
      <c r="E185" s="7">
        <v>0.06</v>
      </c>
      <c r="F185" s="7">
        <v>7.0000000000000007E-2</v>
      </c>
      <c r="G185" s="7">
        <v>7.0000000000000007E-2</v>
      </c>
      <c r="H185" s="7">
        <v>0.08</v>
      </c>
      <c r="I185" s="7">
        <v>0.09</v>
      </c>
      <c r="J185" s="7">
        <v>0.1</v>
      </c>
      <c r="K185" s="7">
        <v>0.12</v>
      </c>
      <c r="L185" s="7">
        <v>0.13</v>
      </c>
      <c r="M185" s="7">
        <v>0.13</v>
      </c>
      <c r="N185" s="7">
        <v>0.13</v>
      </c>
      <c r="O185" s="7">
        <v>0.14000000000000001</v>
      </c>
      <c r="P185" s="7">
        <v>0.14000000000000001</v>
      </c>
      <c r="Q185" s="7">
        <v>0.15</v>
      </c>
      <c r="R185" s="7">
        <v>0.16</v>
      </c>
      <c r="S185" s="7">
        <v>0.2</v>
      </c>
      <c r="T185" s="7">
        <v>0.2</v>
      </c>
      <c r="U185" s="7">
        <v>0.22</v>
      </c>
      <c r="V185" s="7">
        <v>0.19</v>
      </c>
      <c r="W185" s="7">
        <v>0.2</v>
      </c>
      <c r="X185" s="7">
        <v>0.24</v>
      </c>
    </row>
    <row r="186" spans="1:24" ht="14.4" x14ac:dyDescent="0.3">
      <c r="A186" s="27"/>
      <c r="B186" s="6" t="s">
        <v>65</v>
      </c>
      <c r="C186" s="8">
        <v>0.64</v>
      </c>
      <c r="D186" s="8">
        <v>0.63</v>
      </c>
      <c r="E186" s="8">
        <v>0.6</v>
      </c>
      <c r="F186" s="8">
        <v>0.33</v>
      </c>
      <c r="G186" s="8">
        <v>0.65</v>
      </c>
      <c r="H186" s="8">
        <v>0.7</v>
      </c>
      <c r="I186" s="8">
        <v>0.67</v>
      </c>
      <c r="J186" s="8">
        <v>0.64</v>
      </c>
      <c r="K186" s="8">
        <v>0.68</v>
      </c>
      <c r="L186" s="8">
        <v>0.68</v>
      </c>
      <c r="M186" s="8">
        <v>0.64</v>
      </c>
      <c r="N186" s="8">
        <v>0.61</v>
      </c>
      <c r="O186" s="8">
        <v>0.6</v>
      </c>
      <c r="P186" s="8">
        <v>0.61</v>
      </c>
      <c r="Q186" s="8">
        <v>0.59</v>
      </c>
      <c r="R186" s="8">
        <v>0.61</v>
      </c>
      <c r="S186" s="8">
        <v>0.64</v>
      </c>
      <c r="T186" s="8">
        <v>0.63</v>
      </c>
      <c r="U186" s="8">
        <v>0.61</v>
      </c>
      <c r="V186" s="8">
        <v>0.61</v>
      </c>
      <c r="W186" s="8">
        <v>0.6</v>
      </c>
      <c r="X186" s="8">
        <v>0.6</v>
      </c>
    </row>
    <row r="187" spans="1:24" ht="14.4" x14ac:dyDescent="0.3">
      <c r="A187" s="27"/>
      <c r="B187" s="6" t="s">
        <v>66</v>
      </c>
      <c r="C187" s="7">
        <v>0.22</v>
      </c>
      <c r="D187" s="7">
        <v>0.21</v>
      </c>
      <c r="E187" s="7">
        <v>0.21</v>
      </c>
      <c r="F187" s="7">
        <v>0.14000000000000001</v>
      </c>
      <c r="G187" s="7">
        <v>0.22</v>
      </c>
      <c r="H187" s="7">
        <v>0.24</v>
      </c>
      <c r="I187" s="7">
        <v>0.24</v>
      </c>
      <c r="J187" s="7">
        <v>0.24</v>
      </c>
      <c r="K187" s="7">
        <v>0.26</v>
      </c>
      <c r="L187" s="7">
        <v>0.27</v>
      </c>
      <c r="M187" s="7">
        <v>0.26</v>
      </c>
      <c r="N187" s="7">
        <v>0.27</v>
      </c>
      <c r="O187" s="7">
        <v>0.28000000000000003</v>
      </c>
      <c r="P187" s="7">
        <v>0.28999999999999998</v>
      </c>
      <c r="Q187" s="7">
        <v>0.28999999999999998</v>
      </c>
      <c r="R187" s="7">
        <v>0.3</v>
      </c>
      <c r="S187" s="7">
        <v>0.33</v>
      </c>
      <c r="T187" s="7">
        <v>0.34</v>
      </c>
      <c r="U187" s="7">
        <v>0.37</v>
      </c>
      <c r="V187" s="7">
        <v>0.37</v>
      </c>
      <c r="W187" s="7">
        <v>0.4</v>
      </c>
      <c r="X187" s="7">
        <v>0.42</v>
      </c>
    </row>
    <row r="188" spans="1:24" ht="14.4" x14ac:dyDescent="0.3">
      <c r="A188" s="27"/>
      <c r="B188" s="6" t="s">
        <v>67</v>
      </c>
      <c r="C188" s="8">
        <v>0</v>
      </c>
      <c r="D188" s="8">
        <v>0</v>
      </c>
      <c r="E188" s="8">
        <v>0</v>
      </c>
      <c r="F188" s="8">
        <v>0</v>
      </c>
      <c r="G188" s="8">
        <v>0</v>
      </c>
      <c r="H188" s="8">
        <v>0</v>
      </c>
      <c r="I188" s="8">
        <v>0</v>
      </c>
      <c r="J188" s="8">
        <v>0</v>
      </c>
      <c r="K188" s="8">
        <v>0</v>
      </c>
      <c r="L188" s="8">
        <v>0</v>
      </c>
      <c r="M188" s="8">
        <v>0</v>
      </c>
      <c r="N188" s="8">
        <v>0</v>
      </c>
      <c r="O188" s="8">
        <v>0</v>
      </c>
      <c r="P188" s="8">
        <v>0</v>
      </c>
      <c r="Q188" s="8">
        <v>0</v>
      </c>
      <c r="R188" s="8">
        <v>0</v>
      </c>
      <c r="S188" s="8">
        <v>0</v>
      </c>
      <c r="T188" s="8">
        <v>0</v>
      </c>
      <c r="U188" s="8">
        <v>0</v>
      </c>
      <c r="V188" s="8">
        <v>0</v>
      </c>
      <c r="W188" s="8">
        <v>0</v>
      </c>
      <c r="X188" s="8">
        <v>0</v>
      </c>
    </row>
    <row r="189" spans="1:24" ht="14.4" x14ac:dyDescent="0.3">
      <c r="A189" s="27"/>
      <c r="B189" s="6" t="s">
        <v>68</v>
      </c>
      <c r="C189" s="7">
        <v>0</v>
      </c>
      <c r="D189" s="7">
        <v>0</v>
      </c>
      <c r="E189" s="7">
        <v>0</v>
      </c>
      <c r="F189" s="7">
        <v>0</v>
      </c>
      <c r="G189" s="7">
        <v>0</v>
      </c>
      <c r="H189" s="7">
        <v>0</v>
      </c>
      <c r="I189" s="7">
        <v>0</v>
      </c>
      <c r="J189" s="7">
        <v>0</v>
      </c>
      <c r="K189" s="7">
        <v>0</v>
      </c>
      <c r="L189" s="7">
        <v>0</v>
      </c>
      <c r="M189" s="7">
        <v>0</v>
      </c>
      <c r="N189" s="7">
        <v>0</v>
      </c>
      <c r="O189" s="7">
        <v>0</v>
      </c>
      <c r="P189" s="7">
        <v>0</v>
      </c>
      <c r="Q189" s="7">
        <v>0</v>
      </c>
      <c r="R189" s="7">
        <v>0</v>
      </c>
      <c r="S189" s="7">
        <v>0</v>
      </c>
      <c r="T189" s="7">
        <v>0</v>
      </c>
      <c r="U189" s="7">
        <v>0</v>
      </c>
      <c r="V189" s="7">
        <v>0</v>
      </c>
      <c r="W189" s="7">
        <v>0</v>
      </c>
      <c r="X189" s="7">
        <v>0</v>
      </c>
    </row>
    <row r="190" spans="1:24" ht="14.4" x14ac:dyDescent="0.3">
      <c r="A190" s="27"/>
      <c r="B190" s="6" t="s">
        <v>69</v>
      </c>
      <c r="C190" s="8">
        <v>0</v>
      </c>
      <c r="D190" s="8">
        <v>0</v>
      </c>
      <c r="E190" s="8">
        <v>0</v>
      </c>
      <c r="F190" s="8">
        <v>0</v>
      </c>
      <c r="G190" s="8">
        <v>0</v>
      </c>
      <c r="H190" s="8">
        <v>0</v>
      </c>
      <c r="I190" s="8">
        <v>0</v>
      </c>
      <c r="J190" s="8">
        <v>0</v>
      </c>
      <c r="K190" s="8">
        <v>0</v>
      </c>
      <c r="L190" s="8">
        <v>0</v>
      </c>
      <c r="M190" s="8">
        <v>0</v>
      </c>
      <c r="N190" s="8">
        <v>0</v>
      </c>
      <c r="O190" s="8">
        <v>0</v>
      </c>
      <c r="P190" s="8">
        <v>0</v>
      </c>
      <c r="Q190" s="8">
        <v>0</v>
      </c>
      <c r="R190" s="8">
        <v>0</v>
      </c>
      <c r="S190" s="8">
        <v>0</v>
      </c>
      <c r="T190" s="8">
        <v>0</v>
      </c>
      <c r="U190" s="8">
        <v>0</v>
      </c>
      <c r="V190" s="8">
        <v>0</v>
      </c>
      <c r="W190" s="8">
        <v>0</v>
      </c>
      <c r="X190" s="8">
        <v>0</v>
      </c>
    </row>
    <row r="191" spans="1:24" ht="14.4" x14ac:dyDescent="0.3">
      <c r="A191" s="27"/>
      <c r="B191" s="6" t="s">
        <v>70</v>
      </c>
      <c r="C191" s="7">
        <v>0</v>
      </c>
      <c r="D191" s="7">
        <v>0</v>
      </c>
      <c r="E191" s="7">
        <v>0</v>
      </c>
      <c r="F191" s="7">
        <v>0</v>
      </c>
      <c r="G191" s="7">
        <v>0</v>
      </c>
      <c r="H191" s="7">
        <v>0</v>
      </c>
      <c r="I191" s="7">
        <v>0</v>
      </c>
      <c r="J191" s="7">
        <v>0</v>
      </c>
      <c r="K191" s="7">
        <v>0</v>
      </c>
      <c r="L191" s="7">
        <v>0</v>
      </c>
      <c r="M191" s="7">
        <v>0</v>
      </c>
      <c r="N191" s="7">
        <v>0</v>
      </c>
      <c r="O191" s="7">
        <v>0</v>
      </c>
      <c r="P191" s="7">
        <v>0</v>
      </c>
      <c r="Q191" s="7">
        <v>0</v>
      </c>
      <c r="R191" s="7">
        <v>0</v>
      </c>
      <c r="S191" s="7">
        <v>0</v>
      </c>
      <c r="T191" s="7">
        <v>0</v>
      </c>
      <c r="U191" s="7">
        <v>0</v>
      </c>
      <c r="V191" s="7">
        <v>0</v>
      </c>
      <c r="W191" s="7">
        <v>0</v>
      </c>
      <c r="X191" s="7">
        <v>0</v>
      </c>
    </row>
    <row r="192" spans="1:24" ht="14.4" x14ac:dyDescent="0.3">
      <c r="A192" s="28" t="s">
        <v>37</v>
      </c>
      <c r="B192" s="6" t="s">
        <v>6</v>
      </c>
      <c r="C192" s="8">
        <v>0.12</v>
      </c>
      <c r="D192" s="8">
        <v>0.08</v>
      </c>
      <c r="E192" s="8">
        <v>0.1</v>
      </c>
      <c r="F192" s="8">
        <v>0.09</v>
      </c>
      <c r="G192" s="8">
        <v>0.12</v>
      </c>
      <c r="H192" s="8">
        <v>0.12</v>
      </c>
      <c r="I192" s="8">
        <v>0.13</v>
      </c>
      <c r="J192" s="8">
        <v>0.13</v>
      </c>
      <c r="K192" s="8">
        <v>0.11</v>
      </c>
      <c r="L192" s="8">
        <v>0.12</v>
      </c>
      <c r="M192" s="8">
        <v>0.12</v>
      </c>
      <c r="N192" s="8">
        <v>0.12</v>
      </c>
      <c r="O192" s="8">
        <v>0.12</v>
      </c>
      <c r="P192" s="8">
        <v>0.13</v>
      </c>
      <c r="Q192" s="8">
        <v>0.13</v>
      </c>
      <c r="R192" s="8">
        <v>0.14000000000000001</v>
      </c>
      <c r="S192" s="8">
        <v>0.15</v>
      </c>
      <c r="T192" s="8">
        <v>0.15</v>
      </c>
      <c r="U192" s="8">
        <v>0.14000000000000001</v>
      </c>
      <c r="V192" s="8">
        <v>0.13</v>
      </c>
      <c r="W192" s="8">
        <v>0.13</v>
      </c>
      <c r="X192" s="8">
        <v>0.14000000000000001</v>
      </c>
    </row>
    <row r="193" spans="1:24" ht="14.4" x14ac:dyDescent="0.3">
      <c r="A193" s="27"/>
      <c r="B193" s="6" t="s">
        <v>63</v>
      </c>
      <c r="C193" s="7">
        <v>0.08</v>
      </c>
      <c r="D193" s="7">
        <v>7.0000000000000007E-2</v>
      </c>
      <c r="E193" s="7">
        <v>7.0000000000000007E-2</v>
      </c>
      <c r="F193" s="7">
        <v>7.0000000000000007E-2</v>
      </c>
      <c r="G193" s="7">
        <v>7.0000000000000007E-2</v>
      </c>
      <c r="H193" s="7">
        <v>0.09</v>
      </c>
      <c r="I193" s="7">
        <v>0.11</v>
      </c>
      <c r="J193" s="7">
        <v>0.12</v>
      </c>
      <c r="K193" s="7">
        <v>0.13</v>
      </c>
      <c r="L193" s="7">
        <v>0.13</v>
      </c>
      <c r="M193" s="7">
        <v>0.12</v>
      </c>
      <c r="N193" s="7">
        <v>0.13</v>
      </c>
      <c r="O193" s="7">
        <v>0.13</v>
      </c>
      <c r="P193" s="7">
        <v>0.15</v>
      </c>
      <c r="Q193" s="7">
        <v>0.16</v>
      </c>
      <c r="R193" s="7">
        <v>0.18</v>
      </c>
      <c r="S193" s="7">
        <v>0.21</v>
      </c>
      <c r="T193" s="7">
        <v>0.21</v>
      </c>
      <c r="U193" s="7">
        <v>0.21</v>
      </c>
      <c r="V193" s="7">
        <v>0.2</v>
      </c>
      <c r="W193" s="7">
        <v>0.19</v>
      </c>
      <c r="X193" s="7">
        <v>0.19</v>
      </c>
    </row>
    <row r="194" spans="1:24" ht="14.4" x14ac:dyDescent="0.3">
      <c r="A194" s="27"/>
      <c r="B194" s="6" t="s">
        <v>64</v>
      </c>
      <c r="C194" s="8">
        <v>0.09</v>
      </c>
      <c r="D194" s="8">
        <v>0.06</v>
      </c>
      <c r="E194" s="8">
        <v>0.06</v>
      </c>
      <c r="F194" s="8">
        <v>7.0000000000000007E-2</v>
      </c>
      <c r="G194" s="8">
        <v>0.08</v>
      </c>
      <c r="H194" s="8">
        <v>0.08</v>
      </c>
      <c r="I194" s="8">
        <v>0.09</v>
      </c>
      <c r="J194" s="8">
        <v>0.1</v>
      </c>
      <c r="K194" s="8">
        <v>0.1</v>
      </c>
      <c r="L194" s="8">
        <v>0.09</v>
      </c>
      <c r="M194" s="8">
        <v>0.09</v>
      </c>
      <c r="N194" s="8">
        <v>0.09</v>
      </c>
      <c r="O194" s="8">
        <v>0.09</v>
      </c>
      <c r="P194" s="8">
        <v>0.1</v>
      </c>
      <c r="Q194" s="8">
        <v>0.11</v>
      </c>
      <c r="R194" s="8">
        <v>0.12</v>
      </c>
      <c r="S194" s="8">
        <v>0.12</v>
      </c>
      <c r="T194" s="8">
        <v>0.13</v>
      </c>
      <c r="U194" s="8">
        <v>0.13</v>
      </c>
      <c r="V194" s="8">
        <v>0.11</v>
      </c>
      <c r="W194" s="8">
        <v>0.11</v>
      </c>
      <c r="X194" s="8">
        <v>0.1</v>
      </c>
    </row>
    <row r="195" spans="1:24" ht="14.4" x14ac:dyDescent="0.3">
      <c r="A195" s="27"/>
      <c r="B195" s="6" t="s">
        <v>65</v>
      </c>
      <c r="C195" s="7">
        <v>0.57999999999999996</v>
      </c>
      <c r="D195" s="7">
        <v>0.41</v>
      </c>
      <c r="E195" s="7">
        <v>0.52</v>
      </c>
      <c r="F195" s="7">
        <v>0.43</v>
      </c>
      <c r="G195" s="7">
        <v>0.61</v>
      </c>
      <c r="H195" s="7">
        <v>0.61</v>
      </c>
      <c r="I195" s="7">
        <v>0.57999999999999996</v>
      </c>
      <c r="J195" s="7">
        <v>0.55000000000000004</v>
      </c>
      <c r="K195" s="7">
        <v>0.46</v>
      </c>
      <c r="L195" s="7">
        <v>0.5</v>
      </c>
      <c r="M195" s="7">
        <v>0.5</v>
      </c>
      <c r="N195" s="7">
        <v>0.54</v>
      </c>
      <c r="O195" s="7">
        <v>0.53</v>
      </c>
      <c r="P195" s="7">
        <v>0.51</v>
      </c>
      <c r="Q195" s="7">
        <v>0.51</v>
      </c>
      <c r="R195" s="7">
        <v>0.51</v>
      </c>
      <c r="S195" s="7">
        <v>0.52</v>
      </c>
      <c r="T195" s="7">
        <v>0.53</v>
      </c>
      <c r="U195" s="7">
        <v>0.48</v>
      </c>
      <c r="V195" s="7">
        <v>0.46</v>
      </c>
      <c r="W195" s="7">
        <v>0.48</v>
      </c>
      <c r="X195" s="7">
        <v>0.53</v>
      </c>
    </row>
    <row r="196" spans="1:24" ht="14.4" x14ac:dyDescent="0.3">
      <c r="A196" s="27"/>
      <c r="B196" s="6" t="s">
        <v>66</v>
      </c>
      <c r="C196" s="8">
        <v>0.23</v>
      </c>
      <c r="D196" s="8">
        <v>0.17</v>
      </c>
      <c r="E196" s="8">
        <v>0.2</v>
      </c>
      <c r="F196" s="8">
        <v>0.18</v>
      </c>
      <c r="G196" s="8">
        <v>0.23</v>
      </c>
      <c r="H196" s="8">
        <v>0.24</v>
      </c>
      <c r="I196" s="8">
        <v>0.24</v>
      </c>
      <c r="J196" s="8">
        <v>0.24</v>
      </c>
      <c r="K196" s="8">
        <v>0.22</v>
      </c>
      <c r="L196" s="8">
        <v>0.23</v>
      </c>
      <c r="M196" s="8">
        <v>0.22</v>
      </c>
      <c r="N196" s="8">
        <v>0.24</v>
      </c>
      <c r="O196" s="8">
        <v>0.24</v>
      </c>
      <c r="P196" s="8">
        <v>0.25</v>
      </c>
      <c r="Q196" s="8">
        <v>0.25</v>
      </c>
      <c r="R196" s="8">
        <v>0.26</v>
      </c>
      <c r="S196" s="8">
        <v>0.28000000000000003</v>
      </c>
      <c r="T196" s="8">
        <v>0.28999999999999998</v>
      </c>
      <c r="U196" s="8">
        <v>0.28000000000000003</v>
      </c>
      <c r="V196" s="8">
        <v>0.26</v>
      </c>
      <c r="W196" s="8">
        <v>0.26</v>
      </c>
      <c r="X196" s="8">
        <v>0.27</v>
      </c>
    </row>
    <row r="197" spans="1:24" ht="14.4" x14ac:dyDescent="0.3">
      <c r="A197" s="27"/>
      <c r="B197" s="6" t="s">
        <v>67</v>
      </c>
      <c r="C197" s="7">
        <v>0</v>
      </c>
      <c r="D197" s="7">
        <v>0</v>
      </c>
      <c r="E197" s="7">
        <v>0</v>
      </c>
      <c r="F197" s="7">
        <v>0</v>
      </c>
      <c r="G197" s="7">
        <v>0</v>
      </c>
      <c r="H197" s="7">
        <v>0</v>
      </c>
      <c r="I197" s="7">
        <v>0</v>
      </c>
      <c r="J197" s="7">
        <v>0</v>
      </c>
      <c r="K197" s="7">
        <v>0</v>
      </c>
      <c r="L197" s="7">
        <v>0</v>
      </c>
      <c r="M197" s="7">
        <v>0</v>
      </c>
      <c r="N197" s="7">
        <v>0</v>
      </c>
      <c r="O197" s="7">
        <v>0</v>
      </c>
      <c r="P197" s="7">
        <v>0</v>
      </c>
      <c r="Q197" s="7">
        <v>0</v>
      </c>
      <c r="R197" s="7">
        <v>0</v>
      </c>
      <c r="S197" s="7">
        <v>0</v>
      </c>
      <c r="T197" s="7">
        <v>0</v>
      </c>
      <c r="U197" s="7">
        <v>0</v>
      </c>
      <c r="V197" s="7">
        <v>0</v>
      </c>
      <c r="W197" s="7">
        <v>0</v>
      </c>
      <c r="X197" s="7">
        <v>0</v>
      </c>
    </row>
    <row r="198" spans="1:24" ht="14.4" x14ac:dyDescent="0.3">
      <c r="A198" s="27"/>
      <c r="B198" s="6" t="s">
        <v>68</v>
      </c>
      <c r="C198" s="8">
        <v>0</v>
      </c>
      <c r="D198" s="8">
        <v>0</v>
      </c>
      <c r="E198" s="8">
        <v>0</v>
      </c>
      <c r="F198" s="8">
        <v>0</v>
      </c>
      <c r="G198" s="8">
        <v>0</v>
      </c>
      <c r="H198" s="8">
        <v>0</v>
      </c>
      <c r="I198" s="8">
        <v>0.01</v>
      </c>
      <c r="J198" s="8">
        <v>0.01</v>
      </c>
      <c r="K198" s="8">
        <v>0.01</v>
      </c>
      <c r="L198" s="8">
        <v>0.01</v>
      </c>
      <c r="M198" s="8">
        <v>0.01</v>
      </c>
      <c r="N198" s="8">
        <v>0.01</v>
      </c>
      <c r="O198" s="8">
        <v>0.01</v>
      </c>
      <c r="P198" s="8">
        <v>0.02</v>
      </c>
      <c r="Q198" s="8">
        <v>0.01</v>
      </c>
      <c r="R198" s="8">
        <v>0.01</v>
      </c>
      <c r="S198" s="8">
        <v>0.01</v>
      </c>
      <c r="T198" s="8">
        <v>0.01</v>
      </c>
      <c r="U198" s="8">
        <v>0.01</v>
      </c>
      <c r="V198" s="8">
        <v>0.01</v>
      </c>
      <c r="W198" s="8">
        <v>0</v>
      </c>
      <c r="X198" s="8">
        <v>0</v>
      </c>
    </row>
    <row r="199" spans="1:24" ht="14.4" x14ac:dyDescent="0.3">
      <c r="A199" s="27"/>
      <c r="B199" s="6" t="s">
        <v>69</v>
      </c>
      <c r="C199" s="7">
        <v>0</v>
      </c>
      <c r="D199" s="7">
        <v>0</v>
      </c>
      <c r="E199" s="7">
        <v>0</v>
      </c>
      <c r="F199" s="7">
        <v>0</v>
      </c>
      <c r="G199" s="7">
        <v>0</v>
      </c>
      <c r="H199" s="7">
        <v>0</v>
      </c>
      <c r="I199" s="7">
        <v>0</v>
      </c>
      <c r="J199" s="7">
        <v>0</v>
      </c>
      <c r="K199" s="7">
        <v>0</v>
      </c>
      <c r="L199" s="7">
        <v>0</v>
      </c>
      <c r="M199" s="7">
        <v>0</v>
      </c>
      <c r="N199" s="7">
        <v>0</v>
      </c>
      <c r="O199" s="7">
        <v>0</v>
      </c>
      <c r="P199" s="7">
        <v>0</v>
      </c>
      <c r="Q199" s="7">
        <v>0</v>
      </c>
      <c r="R199" s="7">
        <v>0</v>
      </c>
      <c r="S199" s="7">
        <v>0</v>
      </c>
      <c r="T199" s="7">
        <v>0</v>
      </c>
      <c r="U199" s="7">
        <v>0</v>
      </c>
      <c r="V199" s="7">
        <v>0</v>
      </c>
      <c r="W199" s="7">
        <v>0</v>
      </c>
      <c r="X199" s="7">
        <v>0</v>
      </c>
    </row>
    <row r="200" spans="1:24" ht="14.4" x14ac:dyDescent="0.3">
      <c r="A200" s="27"/>
      <c r="B200" s="6" t="s">
        <v>70</v>
      </c>
      <c r="C200" s="8">
        <v>0</v>
      </c>
      <c r="D200" s="8">
        <v>0</v>
      </c>
      <c r="E200" s="8">
        <v>0</v>
      </c>
      <c r="F200" s="8">
        <v>0</v>
      </c>
      <c r="G200" s="8">
        <v>0</v>
      </c>
      <c r="H200" s="8">
        <v>0</v>
      </c>
      <c r="I200" s="8">
        <v>0</v>
      </c>
      <c r="J200" s="8">
        <v>0</v>
      </c>
      <c r="K200" s="8">
        <v>0</v>
      </c>
      <c r="L200" s="8">
        <v>0</v>
      </c>
      <c r="M200" s="8">
        <v>0</v>
      </c>
      <c r="N200" s="8">
        <v>0</v>
      </c>
      <c r="O200" s="8">
        <v>0</v>
      </c>
      <c r="P200" s="8">
        <v>0.01</v>
      </c>
      <c r="Q200" s="8">
        <v>0.01</v>
      </c>
      <c r="R200" s="8">
        <v>0</v>
      </c>
      <c r="S200" s="8">
        <v>0</v>
      </c>
      <c r="T200" s="8">
        <v>0</v>
      </c>
      <c r="U200" s="8">
        <v>0</v>
      </c>
      <c r="V200" s="8">
        <v>0</v>
      </c>
      <c r="W200" s="8">
        <v>0</v>
      </c>
      <c r="X200" s="8">
        <v>0</v>
      </c>
    </row>
    <row r="201" spans="1:24" ht="14.4" x14ac:dyDescent="0.3">
      <c r="A201" s="28" t="s">
        <v>39</v>
      </c>
      <c r="B201" s="6" t="s">
        <v>6</v>
      </c>
      <c r="C201" s="7">
        <v>0.18</v>
      </c>
      <c r="D201" s="7">
        <v>0.17</v>
      </c>
      <c r="E201" s="7">
        <v>0.17</v>
      </c>
      <c r="F201" s="7">
        <v>0.18</v>
      </c>
      <c r="G201" s="7">
        <v>0.2</v>
      </c>
      <c r="H201" s="7">
        <v>0.19</v>
      </c>
      <c r="I201" s="7">
        <v>0.2</v>
      </c>
      <c r="J201" s="7">
        <v>0.25</v>
      </c>
      <c r="K201" s="7">
        <v>0.27</v>
      </c>
      <c r="L201" s="7">
        <v>0.22</v>
      </c>
      <c r="M201" s="7">
        <v>0.2</v>
      </c>
      <c r="N201" s="7">
        <v>0.19</v>
      </c>
      <c r="O201" s="7">
        <v>0.21</v>
      </c>
      <c r="P201" s="7">
        <v>0.22</v>
      </c>
      <c r="Q201" s="7">
        <v>0.22</v>
      </c>
      <c r="R201" s="7">
        <v>0.22</v>
      </c>
      <c r="S201" s="7">
        <v>0.22</v>
      </c>
      <c r="T201" s="7">
        <v>0.22</v>
      </c>
      <c r="U201" s="7">
        <v>0.23</v>
      </c>
      <c r="V201" s="7">
        <v>0.23</v>
      </c>
      <c r="W201" s="7">
        <v>0.22</v>
      </c>
      <c r="X201" s="7">
        <v>0.22</v>
      </c>
    </row>
    <row r="202" spans="1:24" ht="14.4" x14ac:dyDescent="0.3">
      <c r="A202" s="27"/>
      <c r="B202" s="6" t="s">
        <v>63</v>
      </c>
      <c r="C202" s="8">
        <v>0.06</v>
      </c>
      <c r="D202" s="8">
        <v>0.06</v>
      </c>
      <c r="E202" s="8">
        <v>0.06</v>
      </c>
      <c r="F202" s="8">
        <v>0.06</v>
      </c>
      <c r="G202" s="8">
        <v>0.06</v>
      </c>
      <c r="H202" s="8">
        <v>0.05</v>
      </c>
      <c r="I202" s="8">
        <v>0.05</v>
      </c>
      <c r="J202" s="8">
        <v>0.08</v>
      </c>
      <c r="K202" s="8">
        <v>0.11</v>
      </c>
      <c r="L202" s="8">
        <v>0.13</v>
      </c>
      <c r="M202" s="8">
        <v>0.13</v>
      </c>
      <c r="N202" s="8">
        <v>0.13</v>
      </c>
      <c r="O202" s="8">
        <v>0.12</v>
      </c>
      <c r="P202" s="8">
        <v>0.13</v>
      </c>
      <c r="Q202" s="8">
        <v>0.14000000000000001</v>
      </c>
      <c r="R202" s="8">
        <v>0.13</v>
      </c>
      <c r="S202" s="8">
        <v>0.13</v>
      </c>
      <c r="T202" s="8">
        <v>0.12</v>
      </c>
      <c r="U202" s="8">
        <v>0.12</v>
      </c>
      <c r="V202" s="8">
        <v>0.13</v>
      </c>
      <c r="W202" s="8">
        <v>0.12</v>
      </c>
      <c r="X202" s="8">
        <v>0.12</v>
      </c>
    </row>
    <row r="203" spans="1:24" ht="14.4" x14ac:dyDescent="0.3">
      <c r="A203" s="27"/>
      <c r="B203" s="6" t="s">
        <v>64</v>
      </c>
      <c r="C203" s="7">
        <v>0.04</v>
      </c>
      <c r="D203" s="7">
        <v>0.05</v>
      </c>
      <c r="E203" s="7">
        <v>0.04</v>
      </c>
      <c r="F203" s="7">
        <v>0.04</v>
      </c>
      <c r="G203" s="7">
        <v>0.04</v>
      </c>
      <c r="H203" s="7">
        <v>0.04</v>
      </c>
      <c r="I203" s="7">
        <v>0.04</v>
      </c>
      <c r="J203" s="7">
        <v>0.05</v>
      </c>
      <c r="K203" s="7">
        <v>0.06</v>
      </c>
      <c r="L203" s="7">
        <v>7.0000000000000007E-2</v>
      </c>
      <c r="M203" s="7">
        <v>0.06</v>
      </c>
      <c r="N203" s="7">
        <v>0.05</v>
      </c>
      <c r="O203" s="7">
        <v>0.05</v>
      </c>
      <c r="P203" s="7">
        <v>0.06</v>
      </c>
      <c r="Q203" s="7">
        <v>0.06</v>
      </c>
      <c r="R203" s="7">
        <v>0.06</v>
      </c>
      <c r="S203" s="7">
        <v>7.0000000000000007E-2</v>
      </c>
      <c r="T203" s="7">
        <v>7.0000000000000007E-2</v>
      </c>
      <c r="U203" s="7">
        <v>0.06</v>
      </c>
      <c r="V203" s="7">
        <v>7.0000000000000007E-2</v>
      </c>
      <c r="W203" s="7">
        <v>7.0000000000000007E-2</v>
      </c>
      <c r="X203" s="7">
        <v>7.0000000000000007E-2</v>
      </c>
    </row>
    <row r="204" spans="1:24" ht="14.4" x14ac:dyDescent="0.3">
      <c r="A204" s="27"/>
      <c r="B204" s="6" t="s">
        <v>65</v>
      </c>
      <c r="C204" s="8">
        <v>0.48</v>
      </c>
      <c r="D204" s="8">
        <v>0.41</v>
      </c>
      <c r="E204" s="8">
        <v>0.45</v>
      </c>
      <c r="F204" s="8">
        <v>0.47</v>
      </c>
      <c r="G204" s="8">
        <v>0.48</v>
      </c>
      <c r="H204" s="8">
        <v>0.48</v>
      </c>
      <c r="I204" s="8">
        <v>0.5</v>
      </c>
      <c r="J204" s="8">
        <v>0.54</v>
      </c>
      <c r="K204" s="8">
        <v>0.52</v>
      </c>
      <c r="L204" s="8">
        <v>0.45</v>
      </c>
      <c r="M204" s="8">
        <v>0.38</v>
      </c>
      <c r="N204" s="8">
        <v>0.39</v>
      </c>
      <c r="O204" s="8">
        <v>0.52</v>
      </c>
      <c r="P204" s="8">
        <v>0.51</v>
      </c>
      <c r="Q204" s="8">
        <v>0.53</v>
      </c>
      <c r="R204" s="8">
        <v>0.5</v>
      </c>
      <c r="S204" s="8">
        <v>0.53</v>
      </c>
      <c r="T204" s="8">
        <v>0.52</v>
      </c>
      <c r="U204" s="8">
        <v>0.57999999999999996</v>
      </c>
      <c r="V204" s="8">
        <v>0.59</v>
      </c>
      <c r="W204" s="8">
        <v>0.57999999999999996</v>
      </c>
      <c r="X204" s="8">
        <v>0.56000000000000005</v>
      </c>
    </row>
    <row r="205" spans="1:24" ht="14.4" x14ac:dyDescent="0.3">
      <c r="A205" s="27"/>
      <c r="B205" s="6" t="s">
        <v>66</v>
      </c>
      <c r="C205" s="7">
        <v>0.17</v>
      </c>
      <c r="D205" s="7">
        <v>0.16</v>
      </c>
      <c r="E205" s="7">
        <v>0.16</v>
      </c>
      <c r="F205" s="7">
        <v>0.17</v>
      </c>
      <c r="G205" s="7">
        <v>0.17</v>
      </c>
      <c r="H205" s="7">
        <v>0.17</v>
      </c>
      <c r="I205" s="7">
        <v>0.17</v>
      </c>
      <c r="J205" s="7">
        <v>0.2</v>
      </c>
      <c r="K205" s="7">
        <v>0.22</v>
      </c>
      <c r="L205" s="7">
        <v>0.21</v>
      </c>
      <c r="M205" s="7">
        <v>0.18</v>
      </c>
      <c r="N205" s="7">
        <v>0.18</v>
      </c>
      <c r="O205" s="7">
        <v>0.21</v>
      </c>
      <c r="P205" s="7">
        <v>0.22</v>
      </c>
      <c r="Q205" s="7">
        <v>0.23</v>
      </c>
      <c r="R205" s="7">
        <v>0.22</v>
      </c>
      <c r="S205" s="7">
        <v>0.23</v>
      </c>
      <c r="T205" s="7">
        <v>0.22</v>
      </c>
      <c r="U205" s="7">
        <v>0.24</v>
      </c>
      <c r="V205" s="7">
        <v>0.24</v>
      </c>
      <c r="W205" s="7">
        <v>0.24</v>
      </c>
      <c r="X205" s="7">
        <v>0.24</v>
      </c>
    </row>
    <row r="206" spans="1:24" ht="14.4" x14ac:dyDescent="0.3">
      <c r="A206" s="27"/>
      <c r="B206" s="6" t="s">
        <v>67</v>
      </c>
      <c r="C206" s="8">
        <v>0.5</v>
      </c>
      <c r="D206" s="8">
        <v>0.5</v>
      </c>
      <c r="E206" s="8">
        <v>0.5</v>
      </c>
      <c r="F206" s="8">
        <v>0.5</v>
      </c>
      <c r="G206" s="8">
        <v>0.5</v>
      </c>
      <c r="H206" s="8">
        <v>0.48</v>
      </c>
      <c r="I206" s="8">
        <v>0.5</v>
      </c>
      <c r="J206" s="8">
        <v>0.5</v>
      </c>
      <c r="K206" s="8">
        <v>0.5</v>
      </c>
      <c r="L206" s="8">
        <v>0.5</v>
      </c>
      <c r="M206" s="8">
        <v>0.5</v>
      </c>
      <c r="N206" s="8">
        <v>0.45</v>
      </c>
      <c r="O206" s="8">
        <v>0.44</v>
      </c>
      <c r="P206" s="8">
        <v>0.48</v>
      </c>
      <c r="Q206" s="8">
        <v>0.47</v>
      </c>
      <c r="R206" s="8">
        <v>0.48</v>
      </c>
      <c r="S206" s="8">
        <v>0.5</v>
      </c>
      <c r="T206" s="8">
        <v>0.51</v>
      </c>
      <c r="U206" s="8">
        <v>0.48</v>
      </c>
      <c r="V206" s="8">
        <v>0.49</v>
      </c>
      <c r="W206" s="8">
        <v>0.49</v>
      </c>
      <c r="X206" s="8">
        <v>0.48</v>
      </c>
    </row>
    <row r="207" spans="1:24" ht="14.4" x14ac:dyDescent="0.3">
      <c r="A207" s="27"/>
      <c r="B207" s="6" t="s">
        <v>68</v>
      </c>
      <c r="C207" s="7">
        <v>0.01</v>
      </c>
      <c r="D207" s="7">
        <v>0.01</v>
      </c>
      <c r="E207" s="7">
        <v>0.02</v>
      </c>
      <c r="F207" s="7">
        <v>0.02</v>
      </c>
      <c r="G207" s="7">
        <v>0.04</v>
      </c>
      <c r="H207" s="7">
        <v>0.04</v>
      </c>
      <c r="I207" s="7">
        <v>0.05</v>
      </c>
      <c r="J207" s="7">
        <v>0.11</v>
      </c>
      <c r="K207" s="7">
        <v>0.06</v>
      </c>
      <c r="L207" s="7">
        <v>0.04</v>
      </c>
      <c r="M207" s="7">
        <v>0.05</v>
      </c>
      <c r="N207" s="7">
        <v>0.04</v>
      </c>
      <c r="O207" s="7">
        <v>0.04</v>
      </c>
      <c r="P207" s="7">
        <v>0.06</v>
      </c>
      <c r="Q207" s="7">
        <v>0.06</v>
      </c>
      <c r="R207" s="7">
        <v>0.06</v>
      </c>
      <c r="S207" s="7">
        <v>0.06</v>
      </c>
      <c r="T207" s="7">
        <v>7.0000000000000007E-2</v>
      </c>
      <c r="U207" s="7">
        <v>0.06</v>
      </c>
      <c r="V207" s="7">
        <v>0.06</v>
      </c>
      <c r="W207" s="7">
        <v>7.0000000000000007E-2</v>
      </c>
      <c r="X207" s="7">
        <v>7.0000000000000007E-2</v>
      </c>
    </row>
    <row r="208" spans="1:24" ht="14.4" x14ac:dyDescent="0.3">
      <c r="A208" s="27"/>
      <c r="B208" s="6" t="s">
        <v>69</v>
      </c>
      <c r="C208" s="8">
        <v>0.05</v>
      </c>
      <c r="D208" s="8">
        <v>0.05</v>
      </c>
      <c r="E208" s="8">
        <v>0.05</v>
      </c>
      <c r="F208" s="8">
        <v>0.05</v>
      </c>
      <c r="G208" s="8">
        <v>0.13</v>
      </c>
      <c r="H208" s="8">
        <v>0.11</v>
      </c>
      <c r="I208" s="8">
        <v>0.14000000000000001</v>
      </c>
      <c r="J208" s="8">
        <v>0.25</v>
      </c>
      <c r="K208" s="8">
        <v>0.43</v>
      </c>
      <c r="L208" s="8">
        <v>0.17</v>
      </c>
      <c r="M208" s="8">
        <v>0.12</v>
      </c>
      <c r="N208" s="8">
        <v>0.12</v>
      </c>
      <c r="O208" s="8">
        <v>0.12</v>
      </c>
      <c r="P208" s="8">
        <v>0.12</v>
      </c>
      <c r="Q208" s="8">
        <v>0.1</v>
      </c>
      <c r="R208" s="8">
        <v>0.1</v>
      </c>
      <c r="S208" s="8">
        <v>7.0000000000000007E-2</v>
      </c>
      <c r="T208" s="8">
        <v>7.0000000000000007E-2</v>
      </c>
      <c r="U208" s="8">
        <v>0.1</v>
      </c>
      <c r="V208" s="8">
        <v>0.08</v>
      </c>
      <c r="W208" s="8">
        <v>0.05</v>
      </c>
      <c r="X208" s="8">
        <v>0.05</v>
      </c>
    </row>
    <row r="209" spans="1:24" ht="14.4" x14ac:dyDescent="0.3">
      <c r="A209" s="27"/>
      <c r="B209" s="6" t="s">
        <v>70</v>
      </c>
      <c r="C209" s="7">
        <v>0.18</v>
      </c>
      <c r="D209" s="7">
        <v>0.18</v>
      </c>
      <c r="E209" s="7">
        <v>0.18</v>
      </c>
      <c r="F209" s="7">
        <v>0.18</v>
      </c>
      <c r="G209" s="7">
        <v>0.22</v>
      </c>
      <c r="H209" s="7">
        <v>0.2</v>
      </c>
      <c r="I209" s="7">
        <v>0.22</v>
      </c>
      <c r="J209" s="7">
        <v>0.28000000000000003</v>
      </c>
      <c r="K209" s="7">
        <v>0.32</v>
      </c>
      <c r="L209" s="7">
        <v>0.23</v>
      </c>
      <c r="M209" s="7">
        <v>0.22</v>
      </c>
      <c r="N209" s="7">
        <v>0.2</v>
      </c>
      <c r="O209" s="7">
        <v>0.2</v>
      </c>
      <c r="P209" s="7">
        <v>0.22</v>
      </c>
      <c r="Q209" s="7">
        <v>0.2</v>
      </c>
      <c r="R209" s="7">
        <v>0.21</v>
      </c>
      <c r="S209" s="7">
        <v>0.2</v>
      </c>
      <c r="T209" s="7">
        <v>0.21</v>
      </c>
      <c r="U209" s="7">
        <v>0.21</v>
      </c>
      <c r="V209" s="7">
        <v>0.2</v>
      </c>
      <c r="W209" s="7">
        <v>0.2</v>
      </c>
      <c r="X209" s="7">
        <v>0.2</v>
      </c>
    </row>
    <row r="210" spans="1:24" ht="14.4" x14ac:dyDescent="0.3">
      <c r="A210" s="28" t="s">
        <v>41</v>
      </c>
      <c r="B210" s="6" t="s">
        <v>6</v>
      </c>
      <c r="C210" s="8">
        <v>0.31</v>
      </c>
      <c r="D210" s="8">
        <v>0.28000000000000003</v>
      </c>
      <c r="E210" s="8">
        <v>0.3</v>
      </c>
      <c r="F210" s="8">
        <v>0.31</v>
      </c>
      <c r="G210" s="8">
        <v>0.36</v>
      </c>
      <c r="H210" s="8">
        <v>0.37</v>
      </c>
      <c r="I210" s="8">
        <v>0.36</v>
      </c>
      <c r="J210" s="8">
        <v>0.37</v>
      </c>
      <c r="K210" s="8">
        <v>0.32</v>
      </c>
      <c r="L210" s="8">
        <v>0.26</v>
      </c>
      <c r="M210" s="8">
        <v>0.21</v>
      </c>
      <c r="N210" s="8">
        <v>0.2</v>
      </c>
      <c r="O210" s="8">
        <v>0.2</v>
      </c>
      <c r="P210" s="8">
        <v>0.21</v>
      </c>
      <c r="Q210" s="8">
        <v>0.21</v>
      </c>
      <c r="R210" s="8">
        <v>0.21</v>
      </c>
      <c r="S210" s="8">
        <v>0.21</v>
      </c>
      <c r="T210" s="8">
        <v>0.21</v>
      </c>
      <c r="U210" s="8">
        <v>0.22</v>
      </c>
      <c r="V210" s="8">
        <v>0.22</v>
      </c>
      <c r="W210" s="8">
        <v>0.22</v>
      </c>
      <c r="X210" s="8">
        <v>0.22</v>
      </c>
    </row>
    <row r="211" spans="1:24" ht="14.4" x14ac:dyDescent="0.3">
      <c r="A211" s="27"/>
      <c r="B211" s="6" t="s">
        <v>63</v>
      </c>
      <c r="C211" s="7">
        <v>0.08</v>
      </c>
      <c r="D211" s="7">
        <v>7.0000000000000007E-2</v>
      </c>
      <c r="E211" s="7">
        <v>0.08</v>
      </c>
      <c r="F211" s="7">
        <v>0.08</v>
      </c>
      <c r="G211" s="7">
        <v>0.09</v>
      </c>
      <c r="H211" s="7">
        <v>0.1</v>
      </c>
      <c r="I211" s="7">
        <v>0.1</v>
      </c>
      <c r="J211" s="7">
        <v>0.11</v>
      </c>
      <c r="K211" s="7">
        <v>0.11</v>
      </c>
      <c r="L211" s="7">
        <v>0.12</v>
      </c>
      <c r="M211" s="7">
        <v>0.12</v>
      </c>
      <c r="N211" s="7">
        <v>0.12</v>
      </c>
      <c r="O211" s="7">
        <v>0.13</v>
      </c>
      <c r="P211" s="7">
        <v>0.13</v>
      </c>
      <c r="Q211" s="7">
        <v>0.14000000000000001</v>
      </c>
      <c r="R211" s="7">
        <v>0.15</v>
      </c>
      <c r="S211" s="7">
        <v>0.16</v>
      </c>
      <c r="T211" s="7">
        <v>0.16</v>
      </c>
      <c r="U211" s="7">
        <v>0.17</v>
      </c>
      <c r="V211" s="7">
        <v>0.17</v>
      </c>
      <c r="W211" s="7">
        <v>0.17</v>
      </c>
      <c r="X211" s="7">
        <v>0.17</v>
      </c>
    </row>
    <row r="212" spans="1:24" ht="14.4" x14ac:dyDescent="0.3">
      <c r="A212" s="27"/>
      <c r="B212" s="6" t="s">
        <v>64</v>
      </c>
      <c r="C212" s="8">
        <v>0.06</v>
      </c>
      <c r="D212" s="8">
        <v>0.06</v>
      </c>
      <c r="E212" s="8">
        <v>0.06</v>
      </c>
      <c r="F212" s="8">
        <v>7.0000000000000007E-2</v>
      </c>
      <c r="G212" s="8">
        <v>0.08</v>
      </c>
      <c r="H212" s="8">
        <v>0.08</v>
      </c>
      <c r="I212" s="8">
        <v>0.09</v>
      </c>
      <c r="J212" s="8">
        <v>0.1</v>
      </c>
      <c r="K212" s="8">
        <v>0.09</v>
      </c>
      <c r="L212" s="8">
        <v>0.08</v>
      </c>
      <c r="M212" s="8">
        <v>7.0000000000000007E-2</v>
      </c>
      <c r="N212" s="8">
        <v>7.0000000000000007E-2</v>
      </c>
      <c r="O212" s="8">
        <v>0.06</v>
      </c>
      <c r="P212" s="8">
        <v>0.06</v>
      </c>
      <c r="Q212" s="8">
        <v>0.06</v>
      </c>
      <c r="R212" s="8">
        <v>0.06</v>
      </c>
      <c r="S212" s="8">
        <v>0.06</v>
      </c>
      <c r="T212" s="8">
        <v>0.06</v>
      </c>
      <c r="U212" s="8">
        <v>7.0000000000000007E-2</v>
      </c>
      <c r="V212" s="8">
        <v>7.0000000000000007E-2</v>
      </c>
      <c r="W212" s="8">
        <v>7.0000000000000007E-2</v>
      </c>
      <c r="X212" s="8">
        <v>7.0000000000000007E-2</v>
      </c>
    </row>
    <row r="213" spans="1:24" ht="14.4" x14ac:dyDescent="0.3">
      <c r="A213" s="27"/>
      <c r="B213" s="6" t="s">
        <v>65</v>
      </c>
      <c r="C213" s="7">
        <v>0.56000000000000005</v>
      </c>
      <c r="D213" s="7">
        <v>0.48</v>
      </c>
      <c r="E213" s="7">
        <v>0.63</v>
      </c>
      <c r="F213" s="7">
        <v>0.66</v>
      </c>
      <c r="G213" s="7">
        <v>0.67</v>
      </c>
      <c r="H213" s="7">
        <v>0.69</v>
      </c>
      <c r="I213" s="7">
        <v>0.69</v>
      </c>
      <c r="J213" s="7">
        <v>0.65</v>
      </c>
      <c r="K213" s="7">
        <v>0.61</v>
      </c>
      <c r="L213" s="7">
        <v>0.6</v>
      </c>
      <c r="M213" s="7">
        <v>0.61</v>
      </c>
      <c r="N213" s="7">
        <v>0.64</v>
      </c>
      <c r="O213" s="7">
        <v>0.65</v>
      </c>
      <c r="P213" s="7">
        <v>0.65</v>
      </c>
      <c r="Q213" s="7">
        <v>0.66</v>
      </c>
      <c r="R213" s="7">
        <v>0.66</v>
      </c>
      <c r="S213" s="7">
        <v>0.67</v>
      </c>
      <c r="T213" s="7">
        <v>0.67</v>
      </c>
      <c r="U213" s="7">
        <v>0.68</v>
      </c>
      <c r="V213" s="7">
        <v>0.67</v>
      </c>
      <c r="W213" s="7">
        <v>0.68</v>
      </c>
      <c r="X213" s="7">
        <v>0.7</v>
      </c>
    </row>
    <row r="214" spans="1:24" ht="14.4" x14ac:dyDescent="0.3">
      <c r="A214" s="27"/>
      <c r="B214" s="6" t="s">
        <v>66</v>
      </c>
      <c r="C214" s="8">
        <v>0.21</v>
      </c>
      <c r="D214" s="8">
        <v>0.19</v>
      </c>
      <c r="E214" s="8">
        <v>0.23</v>
      </c>
      <c r="F214" s="8">
        <v>0.25</v>
      </c>
      <c r="G214" s="8">
        <v>0.26</v>
      </c>
      <c r="H214" s="8">
        <v>0.26</v>
      </c>
      <c r="I214" s="8">
        <v>0.27</v>
      </c>
      <c r="J214" s="8">
        <v>0.26</v>
      </c>
      <c r="K214" s="8">
        <v>0.25</v>
      </c>
      <c r="L214" s="8">
        <v>0.24</v>
      </c>
      <c r="M214" s="8">
        <v>0.25</v>
      </c>
      <c r="N214" s="8">
        <v>0.25</v>
      </c>
      <c r="O214" s="8">
        <v>0.26</v>
      </c>
      <c r="P214" s="8">
        <v>0.26</v>
      </c>
      <c r="Q214" s="8">
        <v>0.27</v>
      </c>
      <c r="R214" s="8">
        <v>0.27</v>
      </c>
      <c r="S214" s="8">
        <v>0.28000000000000003</v>
      </c>
      <c r="T214" s="8">
        <v>0.28000000000000003</v>
      </c>
      <c r="U214" s="8">
        <v>0.28999999999999998</v>
      </c>
      <c r="V214" s="8">
        <v>0.28000000000000003</v>
      </c>
      <c r="W214" s="8">
        <v>0.28999999999999998</v>
      </c>
      <c r="X214" s="8">
        <v>0.28999999999999998</v>
      </c>
    </row>
    <row r="215" spans="1:24" ht="14.4" x14ac:dyDescent="0.3">
      <c r="A215" s="27"/>
      <c r="B215" s="6" t="s">
        <v>67</v>
      </c>
      <c r="C215" s="7">
        <v>0</v>
      </c>
      <c r="D215" s="7">
        <v>0</v>
      </c>
      <c r="E215" s="7">
        <v>0</v>
      </c>
      <c r="F215" s="7">
        <v>0</v>
      </c>
      <c r="G215" s="7">
        <v>0</v>
      </c>
      <c r="H215" s="7">
        <v>0</v>
      </c>
      <c r="I215" s="7">
        <v>0</v>
      </c>
      <c r="J215" s="7">
        <v>0.01</v>
      </c>
      <c r="K215" s="7">
        <v>0.01</v>
      </c>
      <c r="L215" s="7">
        <v>0</v>
      </c>
      <c r="M215" s="7">
        <v>0</v>
      </c>
      <c r="N215" s="7">
        <v>0</v>
      </c>
      <c r="O215" s="7">
        <v>0</v>
      </c>
      <c r="P215" s="7">
        <v>0</v>
      </c>
      <c r="Q215" s="7">
        <v>0</v>
      </c>
      <c r="R215" s="7">
        <v>0</v>
      </c>
      <c r="S215" s="7">
        <v>0</v>
      </c>
      <c r="T215" s="7">
        <v>0</v>
      </c>
      <c r="U215" s="7">
        <v>0</v>
      </c>
      <c r="V215" s="7">
        <v>0</v>
      </c>
      <c r="W215" s="7">
        <v>0</v>
      </c>
      <c r="X215" s="7">
        <v>0</v>
      </c>
    </row>
    <row r="216" spans="1:24" ht="14.4" x14ac:dyDescent="0.3">
      <c r="A216" s="27"/>
      <c r="B216" s="6" t="s">
        <v>68</v>
      </c>
      <c r="C216" s="8">
        <v>0.2</v>
      </c>
      <c r="D216" s="8">
        <v>0.1</v>
      </c>
      <c r="E216" s="8">
        <v>0.09</v>
      </c>
      <c r="F216" s="8">
        <v>0.1</v>
      </c>
      <c r="G216" s="8">
        <v>0.37</v>
      </c>
      <c r="H216" s="8">
        <v>0.36</v>
      </c>
      <c r="I216" s="8">
        <v>0.34</v>
      </c>
      <c r="J216" s="8">
        <v>0.38</v>
      </c>
      <c r="K216" s="8">
        <v>0.15</v>
      </c>
      <c r="L216" s="8">
        <v>0.11</v>
      </c>
      <c r="M216" s="8">
        <v>0.1</v>
      </c>
      <c r="N216" s="8">
        <v>7.0000000000000007E-2</v>
      </c>
      <c r="O216" s="8">
        <v>7.0000000000000007E-2</v>
      </c>
      <c r="P216" s="8">
        <v>7.0000000000000007E-2</v>
      </c>
      <c r="Q216" s="8">
        <v>7.0000000000000007E-2</v>
      </c>
      <c r="R216" s="8">
        <v>7.0000000000000007E-2</v>
      </c>
      <c r="S216" s="8">
        <v>7.0000000000000007E-2</v>
      </c>
      <c r="T216" s="8">
        <v>0.06</v>
      </c>
      <c r="U216" s="8">
        <v>0.06</v>
      </c>
      <c r="V216" s="8">
        <v>0.06</v>
      </c>
      <c r="W216" s="8">
        <v>0.06</v>
      </c>
      <c r="X216" s="8">
        <v>0.06</v>
      </c>
    </row>
    <row r="217" spans="1:24" ht="14.4" x14ac:dyDescent="0.3">
      <c r="A217" s="27"/>
      <c r="B217" s="6" t="s">
        <v>69</v>
      </c>
      <c r="C217" s="7">
        <v>1</v>
      </c>
      <c r="D217" s="7">
        <v>1</v>
      </c>
      <c r="E217" s="7">
        <v>1</v>
      </c>
      <c r="F217" s="7">
        <v>1</v>
      </c>
      <c r="G217" s="7">
        <v>1</v>
      </c>
      <c r="H217" s="7">
        <v>1</v>
      </c>
      <c r="I217" s="7">
        <v>1</v>
      </c>
      <c r="J217" s="7">
        <v>1</v>
      </c>
      <c r="K217" s="7">
        <v>1</v>
      </c>
      <c r="L217" s="7">
        <v>0.68</v>
      </c>
      <c r="M217" s="7">
        <v>0.38</v>
      </c>
      <c r="N217" s="7">
        <v>0.37</v>
      </c>
      <c r="O217" s="7">
        <v>0.37</v>
      </c>
      <c r="P217" s="7">
        <v>0.37</v>
      </c>
      <c r="Q217" s="7">
        <v>0.37</v>
      </c>
      <c r="R217" s="7">
        <v>0.37</v>
      </c>
      <c r="S217" s="7">
        <v>0.37</v>
      </c>
      <c r="T217" s="7">
        <v>0.37</v>
      </c>
      <c r="U217" s="7">
        <v>0.37</v>
      </c>
      <c r="V217" s="7">
        <v>0.37</v>
      </c>
      <c r="W217" s="7">
        <v>0.37</v>
      </c>
      <c r="X217" s="7">
        <v>0.37</v>
      </c>
    </row>
    <row r="218" spans="1:24" ht="14.4" x14ac:dyDescent="0.3">
      <c r="A218" s="27"/>
      <c r="B218" s="6" t="s">
        <v>70</v>
      </c>
      <c r="C218" s="8">
        <v>0.39</v>
      </c>
      <c r="D218" s="8">
        <v>0.35</v>
      </c>
      <c r="E218" s="8">
        <v>0.35</v>
      </c>
      <c r="F218" s="8">
        <v>0.35</v>
      </c>
      <c r="G218" s="8">
        <v>0.46</v>
      </c>
      <c r="H218" s="8">
        <v>0.45</v>
      </c>
      <c r="I218" s="8">
        <v>0.45</v>
      </c>
      <c r="J218" s="8">
        <v>0.46</v>
      </c>
      <c r="K218" s="8">
        <v>0.37</v>
      </c>
      <c r="L218" s="8">
        <v>0.26</v>
      </c>
      <c r="M218" s="8">
        <v>0.16</v>
      </c>
      <c r="N218" s="8">
        <v>0.14000000000000001</v>
      </c>
      <c r="O218" s="8">
        <v>0.14000000000000001</v>
      </c>
      <c r="P218" s="8">
        <v>0.14000000000000001</v>
      </c>
      <c r="Q218" s="8">
        <v>0.14000000000000001</v>
      </c>
      <c r="R218" s="8">
        <v>0.14000000000000001</v>
      </c>
      <c r="S218" s="8">
        <v>0.14000000000000001</v>
      </c>
      <c r="T218" s="8">
        <v>0.14000000000000001</v>
      </c>
      <c r="U218" s="8">
        <v>0.14000000000000001</v>
      </c>
      <c r="V218" s="8">
        <v>0.14000000000000001</v>
      </c>
      <c r="W218" s="8">
        <v>0.14000000000000001</v>
      </c>
      <c r="X218" s="8">
        <v>0.14000000000000001</v>
      </c>
    </row>
    <row r="219" spans="1:24" ht="14.4" x14ac:dyDescent="0.3">
      <c r="A219" s="28" t="s">
        <v>43</v>
      </c>
      <c r="B219" s="6" t="s">
        <v>6</v>
      </c>
      <c r="C219" s="7">
        <v>0.15</v>
      </c>
      <c r="D219" s="7">
        <v>0.18</v>
      </c>
      <c r="E219" s="7">
        <v>0.16</v>
      </c>
      <c r="F219" s="7">
        <v>0.14000000000000001</v>
      </c>
      <c r="G219" s="7">
        <v>0.15</v>
      </c>
      <c r="H219" s="7">
        <v>0.17</v>
      </c>
      <c r="I219" s="7">
        <v>0.16</v>
      </c>
      <c r="J219" s="7">
        <v>0.18</v>
      </c>
      <c r="K219" s="7">
        <v>0.18</v>
      </c>
      <c r="L219" s="7">
        <v>0.23</v>
      </c>
      <c r="M219" s="7">
        <v>0.21</v>
      </c>
      <c r="N219" s="7">
        <v>0.2</v>
      </c>
      <c r="O219" s="7">
        <v>0.21</v>
      </c>
      <c r="P219" s="7">
        <v>0.18</v>
      </c>
      <c r="Q219" s="7">
        <v>0.18</v>
      </c>
      <c r="R219" s="7">
        <v>0.18</v>
      </c>
      <c r="S219" s="7">
        <v>0.19</v>
      </c>
      <c r="T219" s="7">
        <v>0.18</v>
      </c>
      <c r="U219" s="7">
        <v>0.18</v>
      </c>
      <c r="V219" s="7">
        <v>0.18</v>
      </c>
      <c r="W219" s="7">
        <v>0.18</v>
      </c>
      <c r="X219" s="7">
        <v>0.18</v>
      </c>
    </row>
    <row r="220" spans="1:24" ht="14.4" x14ac:dyDescent="0.3">
      <c r="A220" s="27"/>
      <c r="B220" s="6" t="s">
        <v>63</v>
      </c>
      <c r="C220" s="8">
        <v>0.04</v>
      </c>
      <c r="D220" s="8">
        <v>0.04</v>
      </c>
      <c r="E220" s="8">
        <v>0.04</v>
      </c>
      <c r="F220" s="8">
        <v>0.04</v>
      </c>
      <c r="G220" s="8">
        <v>0.04</v>
      </c>
      <c r="H220" s="8">
        <v>0.04</v>
      </c>
      <c r="I220" s="8">
        <v>0.04</v>
      </c>
      <c r="J220" s="8">
        <v>0.04</v>
      </c>
      <c r="K220" s="8">
        <v>0.04</v>
      </c>
      <c r="L220" s="8">
        <v>0.04</v>
      </c>
      <c r="M220" s="8">
        <v>0.04</v>
      </c>
      <c r="N220" s="8">
        <v>0.05</v>
      </c>
      <c r="O220" s="8">
        <v>0.05</v>
      </c>
      <c r="P220" s="8">
        <v>0.05</v>
      </c>
      <c r="Q220" s="8">
        <v>0.05</v>
      </c>
      <c r="R220" s="8">
        <v>0.05</v>
      </c>
      <c r="S220" s="8">
        <v>0.06</v>
      </c>
      <c r="T220" s="8">
        <v>0.06</v>
      </c>
      <c r="U220" s="8">
        <v>0.05</v>
      </c>
      <c r="V220" s="8">
        <v>0.06</v>
      </c>
      <c r="W220" s="8">
        <v>0.05</v>
      </c>
      <c r="X220" s="8">
        <v>0.05</v>
      </c>
    </row>
    <row r="221" spans="1:24" ht="14.4" x14ac:dyDescent="0.3">
      <c r="A221" s="27"/>
      <c r="B221" s="6" t="s">
        <v>64</v>
      </c>
      <c r="C221" s="7">
        <v>0.16</v>
      </c>
      <c r="D221" s="7">
        <v>0.15</v>
      </c>
      <c r="E221" s="7">
        <v>0.14000000000000001</v>
      </c>
      <c r="F221" s="7">
        <v>0.13</v>
      </c>
      <c r="G221" s="7">
        <v>0.13</v>
      </c>
      <c r="H221" s="7">
        <v>0.13</v>
      </c>
      <c r="I221" s="7">
        <v>0.11</v>
      </c>
      <c r="J221" s="7">
        <v>0.12</v>
      </c>
      <c r="K221" s="7">
        <v>0.13</v>
      </c>
      <c r="L221" s="7">
        <v>0.13</v>
      </c>
      <c r="M221" s="7">
        <v>0.13</v>
      </c>
      <c r="N221" s="7">
        <v>0.13</v>
      </c>
      <c r="O221" s="7">
        <v>0.14000000000000001</v>
      </c>
      <c r="P221" s="7">
        <v>0.15</v>
      </c>
      <c r="Q221" s="7">
        <v>0.13</v>
      </c>
      <c r="R221" s="7">
        <v>0.13</v>
      </c>
      <c r="S221" s="7">
        <v>0.13</v>
      </c>
      <c r="T221" s="7">
        <v>0.13</v>
      </c>
      <c r="U221" s="7">
        <v>0.12</v>
      </c>
      <c r="V221" s="7">
        <v>0.13</v>
      </c>
      <c r="W221" s="7">
        <v>0.14000000000000001</v>
      </c>
      <c r="X221" s="7">
        <v>0.13</v>
      </c>
    </row>
    <row r="222" spans="1:24" ht="14.4" x14ac:dyDescent="0.3">
      <c r="A222" s="27"/>
      <c r="B222" s="6" t="s">
        <v>65</v>
      </c>
      <c r="C222" s="8">
        <v>0.47</v>
      </c>
      <c r="D222" s="8">
        <v>0.67</v>
      </c>
      <c r="E222" s="8">
        <v>0.56000000000000005</v>
      </c>
      <c r="F222" s="8">
        <v>0.44</v>
      </c>
      <c r="G222" s="8">
        <v>0.46</v>
      </c>
      <c r="H222" s="8">
        <v>0.57999999999999996</v>
      </c>
      <c r="I222" s="8">
        <v>0.62</v>
      </c>
      <c r="J222" s="8">
        <v>0.65</v>
      </c>
      <c r="K222" s="8">
        <v>0.67</v>
      </c>
      <c r="L222" s="8">
        <v>0.67</v>
      </c>
      <c r="M222" s="8">
        <v>0.63</v>
      </c>
      <c r="N222" s="8">
        <v>0.6</v>
      </c>
      <c r="O222" s="8">
        <v>0.62</v>
      </c>
      <c r="P222" s="8">
        <v>0.57999999999999996</v>
      </c>
      <c r="Q222" s="8">
        <v>0.61</v>
      </c>
      <c r="R222" s="8">
        <v>0.62</v>
      </c>
      <c r="S222" s="8">
        <v>0.62</v>
      </c>
      <c r="T222" s="8">
        <v>0.62</v>
      </c>
      <c r="U222" s="8">
        <v>0.63</v>
      </c>
      <c r="V222" s="8">
        <v>0.65</v>
      </c>
      <c r="W222" s="8">
        <v>0.63</v>
      </c>
      <c r="X222" s="8">
        <v>0.67</v>
      </c>
    </row>
    <row r="223" spans="1:24" ht="14.4" x14ac:dyDescent="0.3">
      <c r="A223" s="27"/>
      <c r="B223" s="6" t="s">
        <v>66</v>
      </c>
      <c r="C223" s="7">
        <v>0.21</v>
      </c>
      <c r="D223" s="7">
        <v>0.27</v>
      </c>
      <c r="E223" s="7">
        <v>0.23</v>
      </c>
      <c r="F223" s="7">
        <v>0.19</v>
      </c>
      <c r="G223" s="7">
        <v>0.2</v>
      </c>
      <c r="H223" s="7">
        <v>0.23</v>
      </c>
      <c r="I223" s="7">
        <v>0.23</v>
      </c>
      <c r="J223" s="7">
        <v>0.25</v>
      </c>
      <c r="K223" s="7">
        <v>0.26</v>
      </c>
      <c r="L223" s="7">
        <v>0.26</v>
      </c>
      <c r="M223" s="7">
        <v>0.25</v>
      </c>
      <c r="N223" s="7">
        <v>0.24</v>
      </c>
      <c r="O223" s="7">
        <v>0.25</v>
      </c>
      <c r="P223" s="7">
        <v>0.24</v>
      </c>
      <c r="Q223" s="7">
        <v>0.24</v>
      </c>
      <c r="R223" s="7">
        <v>0.25</v>
      </c>
      <c r="S223" s="7">
        <v>0.25</v>
      </c>
      <c r="T223" s="7">
        <v>0.25</v>
      </c>
      <c r="U223" s="7">
        <v>0.25</v>
      </c>
      <c r="V223" s="7">
        <v>0.25</v>
      </c>
      <c r="W223" s="7">
        <v>0.25</v>
      </c>
      <c r="X223" s="7">
        <v>0.26</v>
      </c>
    </row>
    <row r="224" spans="1:24" ht="14.4" x14ac:dyDescent="0.3">
      <c r="A224" s="27"/>
      <c r="B224" s="6" t="s">
        <v>67</v>
      </c>
      <c r="C224" s="8">
        <v>0</v>
      </c>
      <c r="D224" s="8">
        <v>0</v>
      </c>
      <c r="E224" s="8">
        <v>0</v>
      </c>
      <c r="F224" s="8">
        <v>0</v>
      </c>
      <c r="G224" s="8">
        <v>0</v>
      </c>
      <c r="H224" s="8">
        <v>0</v>
      </c>
      <c r="I224" s="8">
        <v>0</v>
      </c>
      <c r="J224" s="8">
        <v>0</v>
      </c>
      <c r="K224" s="8">
        <v>0</v>
      </c>
      <c r="L224" s="8">
        <v>0</v>
      </c>
      <c r="M224" s="8">
        <v>0</v>
      </c>
      <c r="N224" s="8">
        <v>0</v>
      </c>
      <c r="O224" s="8">
        <v>0</v>
      </c>
      <c r="P224" s="8">
        <v>0</v>
      </c>
      <c r="Q224" s="8">
        <v>0</v>
      </c>
      <c r="R224" s="8">
        <v>0</v>
      </c>
      <c r="S224" s="8">
        <v>0</v>
      </c>
      <c r="T224" s="8">
        <v>0</v>
      </c>
      <c r="U224" s="8">
        <v>0</v>
      </c>
      <c r="V224" s="8">
        <v>0</v>
      </c>
      <c r="W224" s="8">
        <v>0</v>
      </c>
      <c r="X224" s="8">
        <v>0</v>
      </c>
    </row>
    <row r="225" spans="1:24" ht="14.4" x14ac:dyDescent="0.3">
      <c r="A225" s="27"/>
      <c r="B225" s="6" t="s">
        <v>68</v>
      </c>
      <c r="C225" s="7">
        <v>0.21</v>
      </c>
      <c r="D225" s="7">
        <v>0.21</v>
      </c>
      <c r="E225" s="7">
        <v>0.21</v>
      </c>
      <c r="F225" s="7">
        <v>0.21</v>
      </c>
      <c r="G225" s="7">
        <v>0.24</v>
      </c>
      <c r="H225" s="7">
        <v>0.27</v>
      </c>
      <c r="I225" s="7">
        <v>0.23</v>
      </c>
      <c r="J225" s="7">
        <v>0.27</v>
      </c>
      <c r="K225" s="7">
        <v>0.24</v>
      </c>
      <c r="L225" s="7">
        <v>0.5</v>
      </c>
      <c r="M225" s="7">
        <v>0.43</v>
      </c>
      <c r="N225" s="7">
        <v>0.41</v>
      </c>
      <c r="O225" s="7">
        <v>0.41</v>
      </c>
      <c r="P225" s="7">
        <v>0.28000000000000003</v>
      </c>
      <c r="Q225" s="7">
        <v>0.28000000000000003</v>
      </c>
      <c r="R225" s="7">
        <v>0.26</v>
      </c>
      <c r="S225" s="7">
        <v>0.26</v>
      </c>
      <c r="T225" s="7">
        <v>0.26</v>
      </c>
      <c r="U225" s="7">
        <v>0.26</v>
      </c>
      <c r="V225" s="7">
        <v>0.26</v>
      </c>
      <c r="W225" s="7">
        <v>0.26</v>
      </c>
      <c r="X225" s="7">
        <v>0.26</v>
      </c>
    </row>
    <row r="226" spans="1:24" ht="14.4" x14ac:dyDescent="0.3">
      <c r="A226" s="27"/>
      <c r="B226" s="6" t="s">
        <v>69</v>
      </c>
      <c r="C226" s="8">
        <v>0</v>
      </c>
      <c r="D226" s="8">
        <v>0</v>
      </c>
      <c r="E226" s="8">
        <v>0</v>
      </c>
      <c r="F226" s="8">
        <v>0</v>
      </c>
      <c r="G226" s="8">
        <v>0</v>
      </c>
      <c r="H226" s="8">
        <v>0</v>
      </c>
      <c r="I226" s="8">
        <v>0</v>
      </c>
      <c r="J226" s="8">
        <v>0.01</v>
      </c>
      <c r="K226" s="8">
        <v>0.01</v>
      </c>
      <c r="L226" s="8">
        <v>0</v>
      </c>
      <c r="M226" s="8">
        <v>0</v>
      </c>
      <c r="N226" s="8">
        <v>0.01</v>
      </c>
      <c r="O226" s="8">
        <v>0.01</v>
      </c>
      <c r="P226" s="8">
        <v>0.01</v>
      </c>
      <c r="Q226" s="8">
        <v>0.03</v>
      </c>
      <c r="R226" s="8">
        <v>0.01</v>
      </c>
      <c r="S226" s="8">
        <v>0.05</v>
      </c>
      <c r="T226" s="8">
        <v>0</v>
      </c>
      <c r="U226" s="8">
        <v>0</v>
      </c>
      <c r="V226" s="8">
        <v>0</v>
      </c>
      <c r="W226" s="8">
        <v>0</v>
      </c>
      <c r="X226" s="8">
        <v>0</v>
      </c>
    </row>
    <row r="227" spans="1:24" ht="14.4" x14ac:dyDescent="0.3">
      <c r="A227" s="27"/>
      <c r="B227" s="6" t="s">
        <v>70</v>
      </c>
      <c r="C227" s="7">
        <v>0.08</v>
      </c>
      <c r="D227" s="7">
        <v>0.08</v>
      </c>
      <c r="E227" s="7">
        <v>0.08</v>
      </c>
      <c r="F227" s="7">
        <v>0.08</v>
      </c>
      <c r="G227" s="7">
        <v>0.09</v>
      </c>
      <c r="H227" s="7">
        <v>0.1</v>
      </c>
      <c r="I227" s="7">
        <v>0.09</v>
      </c>
      <c r="J227" s="7">
        <v>0.1</v>
      </c>
      <c r="K227" s="7">
        <v>0.09</v>
      </c>
      <c r="L227" s="7">
        <v>0.19</v>
      </c>
      <c r="M227" s="7">
        <v>0.16</v>
      </c>
      <c r="N227" s="7">
        <v>0.16</v>
      </c>
      <c r="O227" s="7">
        <v>0.16</v>
      </c>
      <c r="P227" s="7">
        <v>0.11</v>
      </c>
      <c r="Q227" s="7">
        <v>0.11</v>
      </c>
      <c r="R227" s="7">
        <v>0.1</v>
      </c>
      <c r="S227" s="7">
        <v>0.11</v>
      </c>
      <c r="T227" s="7">
        <v>0.1</v>
      </c>
      <c r="U227" s="7">
        <v>0.1</v>
      </c>
      <c r="V227" s="7">
        <v>0.1</v>
      </c>
      <c r="W227" s="7">
        <v>0.1</v>
      </c>
      <c r="X227" s="7">
        <v>0.1</v>
      </c>
    </row>
    <row r="228" spans="1:24" ht="14.4" x14ac:dyDescent="0.3">
      <c r="A228" s="28" t="s">
        <v>45</v>
      </c>
      <c r="B228" s="6" t="s">
        <v>6</v>
      </c>
      <c r="C228" s="8">
        <v>0.35</v>
      </c>
      <c r="D228" s="8">
        <v>0.31</v>
      </c>
      <c r="E228" s="8">
        <v>0.3</v>
      </c>
      <c r="F228" s="8">
        <v>0.31</v>
      </c>
      <c r="G228" s="8">
        <v>0.31</v>
      </c>
      <c r="H228" s="8">
        <v>0.3</v>
      </c>
      <c r="I228" s="8">
        <v>0.3</v>
      </c>
      <c r="J228" s="8">
        <v>0.33</v>
      </c>
      <c r="K228" s="8">
        <v>0.31</v>
      </c>
      <c r="L228" s="8">
        <v>0.31</v>
      </c>
      <c r="M228" s="8">
        <v>0.32</v>
      </c>
      <c r="N228" s="8">
        <v>0.32</v>
      </c>
      <c r="O228" s="8">
        <v>0.34</v>
      </c>
      <c r="P228" s="8">
        <v>0.35</v>
      </c>
      <c r="Q228" s="8">
        <v>0.35</v>
      </c>
      <c r="R228" s="8">
        <v>0.36</v>
      </c>
      <c r="S228" s="8">
        <v>0.35</v>
      </c>
      <c r="T228" s="8">
        <v>0.36</v>
      </c>
      <c r="U228" s="8">
        <v>0.35</v>
      </c>
      <c r="V228" s="8">
        <v>0.36</v>
      </c>
      <c r="W228" s="8">
        <v>0.38</v>
      </c>
      <c r="X228" s="8">
        <v>0.38</v>
      </c>
    </row>
    <row r="229" spans="1:24" ht="14.4" x14ac:dyDescent="0.3">
      <c r="A229" s="27"/>
      <c r="B229" s="6" t="s">
        <v>63</v>
      </c>
      <c r="C229" s="7">
        <v>0.14000000000000001</v>
      </c>
      <c r="D229" s="7">
        <v>0.13</v>
      </c>
      <c r="E229" s="7">
        <v>0.13</v>
      </c>
      <c r="F229" s="7">
        <v>0.14000000000000001</v>
      </c>
      <c r="G229" s="7">
        <v>0.14000000000000001</v>
      </c>
      <c r="H229" s="7">
        <v>0.14000000000000001</v>
      </c>
      <c r="I229" s="7">
        <v>0.15</v>
      </c>
      <c r="J229" s="7">
        <v>0.14000000000000001</v>
      </c>
      <c r="K229" s="7">
        <v>0.15</v>
      </c>
      <c r="L229" s="7">
        <v>0.15</v>
      </c>
      <c r="M229" s="7">
        <v>0.16</v>
      </c>
      <c r="N229" s="7">
        <v>0.16</v>
      </c>
      <c r="O229" s="7">
        <v>0.18</v>
      </c>
      <c r="P229" s="7">
        <v>0.19</v>
      </c>
      <c r="Q229" s="7">
        <v>0.2</v>
      </c>
      <c r="R229" s="7">
        <v>0.21</v>
      </c>
      <c r="S229" s="7">
        <v>0.22</v>
      </c>
      <c r="T229" s="7">
        <v>0.23</v>
      </c>
      <c r="U229" s="7">
        <v>0.23</v>
      </c>
      <c r="V229" s="7">
        <v>0.24</v>
      </c>
      <c r="W229" s="7">
        <v>0.24</v>
      </c>
      <c r="X229" s="7">
        <v>0.23</v>
      </c>
    </row>
    <row r="230" spans="1:24" ht="14.4" x14ac:dyDescent="0.3">
      <c r="A230" s="27"/>
      <c r="B230" s="6" t="s">
        <v>64</v>
      </c>
      <c r="C230" s="8">
        <v>0.13</v>
      </c>
      <c r="D230" s="8">
        <v>0.13</v>
      </c>
      <c r="E230" s="8">
        <v>0.13</v>
      </c>
      <c r="F230" s="8">
        <v>0.13</v>
      </c>
      <c r="G230" s="8">
        <v>0.13</v>
      </c>
      <c r="H230" s="8">
        <v>0.12</v>
      </c>
      <c r="I230" s="8">
        <v>0.12</v>
      </c>
      <c r="J230" s="8">
        <v>0.13</v>
      </c>
      <c r="K230" s="8">
        <v>0.11</v>
      </c>
      <c r="L230" s="8">
        <v>0.11</v>
      </c>
      <c r="M230" s="8">
        <v>0.12</v>
      </c>
      <c r="N230" s="8">
        <v>0.13</v>
      </c>
      <c r="O230" s="8">
        <v>0.14000000000000001</v>
      </c>
      <c r="P230" s="8">
        <v>0.16</v>
      </c>
      <c r="Q230" s="8">
        <v>0.16</v>
      </c>
      <c r="R230" s="8">
        <v>0.17</v>
      </c>
      <c r="S230" s="8">
        <v>0.16</v>
      </c>
      <c r="T230" s="8">
        <v>0.17</v>
      </c>
      <c r="U230" s="8">
        <v>0.17</v>
      </c>
      <c r="V230" s="8">
        <v>0.17</v>
      </c>
      <c r="W230" s="8">
        <v>0.21</v>
      </c>
      <c r="X230" s="8">
        <v>0.21</v>
      </c>
    </row>
    <row r="231" spans="1:24" ht="14.4" x14ac:dyDescent="0.3">
      <c r="A231" s="27"/>
      <c r="B231" s="6" t="s">
        <v>65</v>
      </c>
      <c r="C231" s="7">
        <v>0.57999999999999996</v>
      </c>
      <c r="D231" s="7">
        <v>0.55000000000000004</v>
      </c>
      <c r="E231" s="7">
        <v>0.56000000000000005</v>
      </c>
      <c r="F231" s="7">
        <v>0.6</v>
      </c>
      <c r="G231" s="7">
        <v>0.6</v>
      </c>
      <c r="H231" s="7">
        <v>0.6</v>
      </c>
      <c r="I231" s="7">
        <v>0.6</v>
      </c>
      <c r="J231" s="7">
        <v>0.59</v>
      </c>
      <c r="K231" s="7">
        <v>0.62</v>
      </c>
      <c r="L231" s="7">
        <v>0.62</v>
      </c>
      <c r="M231" s="7">
        <v>0.62</v>
      </c>
      <c r="N231" s="7">
        <v>0.64</v>
      </c>
      <c r="O231" s="7">
        <v>0.65</v>
      </c>
      <c r="P231" s="7">
        <v>0.65</v>
      </c>
      <c r="Q231" s="7">
        <v>0.66</v>
      </c>
      <c r="R231" s="7">
        <v>0.67</v>
      </c>
      <c r="S231" s="7">
        <v>0.67</v>
      </c>
      <c r="T231" s="7">
        <v>0.68</v>
      </c>
      <c r="U231" s="7">
        <v>0.69</v>
      </c>
      <c r="V231" s="7">
        <v>0.69</v>
      </c>
      <c r="W231" s="7">
        <v>0.66</v>
      </c>
      <c r="X231" s="7">
        <v>0.69</v>
      </c>
    </row>
    <row r="232" spans="1:24" ht="14.4" x14ac:dyDescent="0.3">
      <c r="A232" s="27"/>
      <c r="B232" s="6" t="s">
        <v>66</v>
      </c>
      <c r="C232" s="8">
        <v>0.27</v>
      </c>
      <c r="D232" s="8">
        <v>0.26</v>
      </c>
      <c r="E232" s="8">
        <v>0.27</v>
      </c>
      <c r="F232" s="8">
        <v>0.28000000000000003</v>
      </c>
      <c r="G232" s="8">
        <v>0.28000000000000003</v>
      </c>
      <c r="H232" s="8">
        <v>0.28000000000000003</v>
      </c>
      <c r="I232" s="8">
        <v>0.28000000000000003</v>
      </c>
      <c r="J232" s="8">
        <v>0.28000000000000003</v>
      </c>
      <c r="K232" s="8">
        <v>0.28000000000000003</v>
      </c>
      <c r="L232" s="8">
        <v>0.28000000000000003</v>
      </c>
      <c r="M232" s="8">
        <v>0.28999999999999998</v>
      </c>
      <c r="N232" s="8">
        <v>0.3</v>
      </c>
      <c r="O232" s="8">
        <v>0.31</v>
      </c>
      <c r="P232" s="8">
        <v>0.33</v>
      </c>
      <c r="Q232" s="8">
        <v>0.33</v>
      </c>
      <c r="R232" s="8">
        <v>0.34</v>
      </c>
      <c r="S232" s="8">
        <v>0.35</v>
      </c>
      <c r="T232" s="8">
        <v>0.36</v>
      </c>
      <c r="U232" s="8">
        <v>0.36</v>
      </c>
      <c r="V232" s="8">
        <v>0.36</v>
      </c>
      <c r="W232" s="8">
        <v>0.37</v>
      </c>
      <c r="X232" s="8">
        <v>0.38</v>
      </c>
    </row>
    <row r="233" spans="1:24" ht="14.4" x14ac:dyDescent="0.3">
      <c r="A233" s="27"/>
      <c r="B233" s="6" t="s">
        <v>67</v>
      </c>
      <c r="C233" s="7">
        <v>0.42</v>
      </c>
      <c r="D233" s="7">
        <v>0.41</v>
      </c>
      <c r="E233" s="7">
        <v>0.42</v>
      </c>
      <c r="F233" s="7">
        <v>0.45</v>
      </c>
      <c r="G233" s="7">
        <v>0.45</v>
      </c>
      <c r="H233" s="7">
        <v>0.42</v>
      </c>
      <c r="I233" s="7">
        <v>0.39</v>
      </c>
      <c r="J233" s="7">
        <v>0.35</v>
      </c>
      <c r="K233" s="7">
        <v>0.39</v>
      </c>
      <c r="L233" s="7">
        <v>0.35</v>
      </c>
      <c r="M233" s="7">
        <v>0.3</v>
      </c>
      <c r="N233" s="7">
        <v>0.3</v>
      </c>
      <c r="O233" s="7">
        <v>0.31</v>
      </c>
      <c r="P233" s="7">
        <v>0.28000000000000003</v>
      </c>
      <c r="Q233" s="7">
        <v>0.28999999999999998</v>
      </c>
      <c r="R233" s="7">
        <v>0.3</v>
      </c>
      <c r="S233" s="7">
        <v>0.28999999999999998</v>
      </c>
      <c r="T233" s="7">
        <v>0.32</v>
      </c>
      <c r="U233" s="7">
        <v>0.31</v>
      </c>
      <c r="V233" s="7">
        <v>0.31</v>
      </c>
      <c r="W233" s="7">
        <v>0.33</v>
      </c>
      <c r="X233" s="7">
        <v>0.32</v>
      </c>
    </row>
    <row r="234" spans="1:24" ht="14.4" x14ac:dyDescent="0.3">
      <c r="A234" s="27"/>
      <c r="B234" s="6" t="s">
        <v>68</v>
      </c>
      <c r="C234" s="8">
        <v>0.43</v>
      </c>
      <c r="D234" s="8">
        <v>0.41</v>
      </c>
      <c r="E234" s="8">
        <v>0.37</v>
      </c>
      <c r="F234" s="8">
        <v>0.38</v>
      </c>
      <c r="G234" s="8">
        <v>0.36</v>
      </c>
      <c r="H234" s="8">
        <v>0.36</v>
      </c>
      <c r="I234" s="8">
        <v>0.38</v>
      </c>
      <c r="J234" s="8">
        <v>0.43</v>
      </c>
      <c r="K234" s="8">
        <v>0.28999999999999998</v>
      </c>
      <c r="L234" s="8">
        <v>0.4</v>
      </c>
      <c r="M234" s="8">
        <v>0.48</v>
      </c>
      <c r="N234" s="8">
        <v>0.47</v>
      </c>
      <c r="O234" s="8">
        <v>0.53</v>
      </c>
      <c r="P234" s="8">
        <v>0.5</v>
      </c>
      <c r="Q234" s="8">
        <v>0.52</v>
      </c>
      <c r="R234" s="8">
        <v>0.51</v>
      </c>
      <c r="S234" s="8">
        <v>0.5</v>
      </c>
      <c r="T234" s="8">
        <v>0.55000000000000004</v>
      </c>
      <c r="U234" s="8">
        <v>0.5</v>
      </c>
      <c r="V234" s="8">
        <v>0.51</v>
      </c>
      <c r="W234" s="8">
        <v>0.57999999999999996</v>
      </c>
      <c r="X234" s="8">
        <v>0.56999999999999995</v>
      </c>
    </row>
    <row r="235" spans="1:24" ht="14.4" x14ac:dyDescent="0.3">
      <c r="A235" s="27"/>
      <c r="B235" s="6" t="s">
        <v>69</v>
      </c>
      <c r="C235" s="7">
        <v>0.35</v>
      </c>
      <c r="D235" s="7">
        <v>0.18</v>
      </c>
      <c r="E235" s="7">
        <v>0.14000000000000001</v>
      </c>
      <c r="F235" s="7">
        <v>0.13</v>
      </c>
      <c r="G235" s="7">
        <v>0.14000000000000001</v>
      </c>
      <c r="H235" s="7">
        <v>0.17</v>
      </c>
      <c r="I235" s="7">
        <v>0.17</v>
      </c>
      <c r="J235" s="7">
        <v>0.28999999999999998</v>
      </c>
      <c r="K235" s="7">
        <v>0.28999999999999998</v>
      </c>
      <c r="L235" s="7">
        <v>0.2</v>
      </c>
      <c r="M235" s="7">
        <v>0.17</v>
      </c>
      <c r="N235" s="7">
        <v>0.2</v>
      </c>
      <c r="O235" s="7">
        <v>0.19</v>
      </c>
      <c r="P235" s="7">
        <v>0.25</v>
      </c>
      <c r="Q235" s="7">
        <v>0.2</v>
      </c>
      <c r="R235" s="7">
        <v>0.2</v>
      </c>
      <c r="S235" s="7">
        <v>0.18</v>
      </c>
      <c r="T235" s="7">
        <v>0.14000000000000001</v>
      </c>
      <c r="U235" s="7">
        <v>0.14000000000000001</v>
      </c>
      <c r="V235" s="7">
        <v>0.13</v>
      </c>
      <c r="W235" s="7">
        <v>0.15</v>
      </c>
      <c r="X235" s="7">
        <v>0.15</v>
      </c>
    </row>
    <row r="236" spans="1:24" ht="14.4" x14ac:dyDescent="0.3">
      <c r="A236" s="27"/>
      <c r="B236" s="6" t="s">
        <v>70</v>
      </c>
      <c r="C236" s="8">
        <v>0.41</v>
      </c>
      <c r="D236" s="8">
        <v>0.34</v>
      </c>
      <c r="E236" s="8">
        <v>0.32</v>
      </c>
      <c r="F236" s="8">
        <v>0.33</v>
      </c>
      <c r="G236" s="8">
        <v>0.32</v>
      </c>
      <c r="H236" s="8">
        <v>0.32</v>
      </c>
      <c r="I236" s="8">
        <v>0.32</v>
      </c>
      <c r="J236" s="8">
        <v>0.37</v>
      </c>
      <c r="K236" s="8">
        <v>0.33</v>
      </c>
      <c r="L236" s="8">
        <v>0.33</v>
      </c>
      <c r="M236" s="8">
        <v>0.33</v>
      </c>
      <c r="N236" s="8">
        <v>0.34</v>
      </c>
      <c r="O236" s="8">
        <v>0.36</v>
      </c>
      <c r="P236" s="8">
        <v>0.36</v>
      </c>
      <c r="Q236" s="8">
        <v>0.36</v>
      </c>
      <c r="R236" s="8">
        <v>0.35</v>
      </c>
      <c r="S236" s="8">
        <v>0.34</v>
      </c>
      <c r="T236" s="8">
        <v>0.35</v>
      </c>
      <c r="U236" s="8">
        <v>0.33</v>
      </c>
      <c r="V236" s="8">
        <v>0.34</v>
      </c>
      <c r="W236" s="8">
        <v>0.37</v>
      </c>
      <c r="X236" s="8">
        <v>0.36</v>
      </c>
    </row>
    <row r="237" spans="1:24" ht="14.4" x14ac:dyDescent="0.3">
      <c r="A237" s="28" t="s">
        <v>47</v>
      </c>
      <c r="B237" s="6" t="s">
        <v>6</v>
      </c>
      <c r="C237" s="7">
        <v>0.09</v>
      </c>
      <c r="D237" s="7">
        <v>0.09</v>
      </c>
      <c r="E237" s="7">
        <v>0.09</v>
      </c>
      <c r="F237" s="7">
        <v>0.09</v>
      </c>
      <c r="G237" s="7">
        <v>0.09</v>
      </c>
      <c r="H237" s="7">
        <v>0.09</v>
      </c>
      <c r="I237" s="7">
        <v>0.1</v>
      </c>
      <c r="J237" s="7">
        <v>0.1</v>
      </c>
      <c r="K237" s="7">
        <v>0.1</v>
      </c>
      <c r="L237" s="7">
        <v>0.1</v>
      </c>
      <c r="M237" s="7">
        <v>0.1</v>
      </c>
      <c r="N237" s="7">
        <v>0.1</v>
      </c>
      <c r="O237" s="7">
        <v>0.09</v>
      </c>
      <c r="P237" s="7">
        <v>0.1</v>
      </c>
      <c r="Q237" s="7">
        <v>0.09</v>
      </c>
      <c r="R237" s="7">
        <v>0.09</v>
      </c>
      <c r="S237" s="7">
        <v>0.1</v>
      </c>
      <c r="T237" s="7">
        <v>0.11</v>
      </c>
      <c r="U237" s="7">
        <v>0.12</v>
      </c>
      <c r="V237" s="7">
        <v>0.11</v>
      </c>
      <c r="W237" s="7">
        <v>0.11</v>
      </c>
      <c r="X237" s="7">
        <v>0.12</v>
      </c>
    </row>
    <row r="238" spans="1:24" ht="14.4" x14ac:dyDescent="0.3">
      <c r="A238" s="27"/>
      <c r="B238" s="6" t="s">
        <v>63</v>
      </c>
      <c r="C238" s="8">
        <v>0.03</v>
      </c>
      <c r="D238" s="8">
        <v>0.03</v>
      </c>
      <c r="E238" s="8">
        <v>0.03</v>
      </c>
      <c r="F238" s="8">
        <v>0.03</v>
      </c>
      <c r="G238" s="8">
        <v>0.03</v>
      </c>
      <c r="H238" s="8">
        <v>0.04</v>
      </c>
      <c r="I238" s="8">
        <v>0.05</v>
      </c>
      <c r="J238" s="8">
        <v>0.05</v>
      </c>
      <c r="K238" s="8">
        <v>0.06</v>
      </c>
      <c r="L238" s="8">
        <v>7.0000000000000007E-2</v>
      </c>
      <c r="M238" s="8">
        <v>7.0000000000000007E-2</v>
      </c>
      <c r="N238" s="8">
        <v>0.08</v>
      </c>
      <c r="O238" s="8">
        <v>0.08</v>
      </c>
      <c r="P238" s="8">
        <v>0.08</v>
      </c>
      <c r="Q238" s="8">
        <v>0.08</v>
      </c>
      <c r="R238" s="8">
        <v>0.08</v>
      </c>
      <c r="S238" s="8">
        <v>0.09</v>
      </c>
      <c r="T238" s="8">
        <v>0.09</v>
      </c>
      <c r="U238" s="8">
        <v>0.09</v>
      </c>
      <c r="V238" s="8">
        <v>0.09</v>
      </c>
      <c r="W238" s="8">
        <v>0.09</v>
      </c>
      <c r="X238" s="8">
        <v>0.09</v>
      </c>
    </row>
    <row r="239" spans="1:24" ht="14.4" x14ac:dyDescent="0.3">
      <c r="A239" s="27"/>
      <c r="B239" s="6" t="s">
        <v>64</v>
      </c>
      <c r="C239" s="7">
        <v>0.06</v>
      </c>
      <c r="D239" s="7">
        <v>0.05</v>
      </c>
      <c r="E239" s="7">
        <v>0.05</v>
      </c>
      <c r="F239" s="7">
        <v>0.06</v>
      </c>
      <c r="G239" s="7">
        <v>0.06</v>
      </c>
      <c r="H239" s="7">
        <v>0.06</v>
      </c>
      <c r="I239" s="7">
        <v>0.06</v>
      </c>
      <c r="J239" s="7">
        <v>0.06</v>
      </c>
      <c r="K239" s="7">
        <v>7.0000000000000007E-2</v>
      </c>
      <c r="L239" s="7">
        <v>7.0000000000000007E-2</v>
      </c>
      <c r="M239" s="7">
        <v>7.0000000000000007E-2</v>
      </c>
      <c r="N239" s="7">
        <v>0.08</v>
      </c>
      <c r="O239" s="7">
        <v>0.08</v>
      </c>
      <c r="P239" s="7">
        <v>0.08</v>
      </c>
      <c r="Q239" s="7">
        <v>0.08</v>
      </c>
      <c r="R239" s="7">
        <v>0.09</v>
      </c>
      <c r="S239" s="7">
        <v>0.09</v>
      </c>
      <c r="T239" s="7">
        <v>0.1</v>
      </c>
      <c r="U239" s="7">
        <v>0.1</v>
      </c>
      <c r="V239" s="7">
        <v>0.1</v>
      </c>
      <c r="W239" s="7">
        <v>0.1</v>
      </c>
      <c r="X239" s="7">
        <v>0.1</v>
      </c>
    </row>
    <row r="240" spans="1:24" ht="14.4" x14ac:dyDescent="0.3">
      <c r="A240" s="27"/>
      <c r="B240" s="6" t="s">
        <v>65</v>
      </c>
      <c r="C240" s="8">
        <v>0.5</v>
      </c>
      <c r="D240" s="8">
        <v>0.49</v>
      </c>
      <c r="E240" s="8">
        <v>0.48</v>
      </c>
      <c r="F240" s="8">
        <v>0.51</v>
      </c>
      <c r="G240" s="8">
        <v>0.51</v>
      </c>
      <c r="H240" s="8">
        <v>0.45</v>
      </c>
      <c r="I240" s="8">
        <v>0.51</v>
      </c>
      <c r="J240" s="8">
        <v>0.56000000000000005</v>
      </c>
      <c r="K240" s="8">
        <v>0.49</v>
      </c>
      <c r="L240" s="8">
        <v>0.47</v>
      </c>
      <c r="M240" s="8">
        <v>0.48</v>
      </c>
      <c r="N240" s="8">
        <v>0.43</v>
      </c>
      <c r="O240" s="8">
        <v>0.41</v>
      </c>
      <c r="P240" s="8">
        <v>0.43</v>
      </c>
      <c r="Q240" s="8">
        <v>0.35</v>
      </c>
      <c r="R240" s="8">
        <v>0.38</v>
      </c>
      <c r="S240" s="8">
        <v>0.43</v>
      </c>
      <c r="T240" s="8">
        <v>0.46</v>
      </c>
      <c r="U240" s="8">
        <v>0.48</v>
      </c>
      <c r="V240" s="8">
        <v>0.47</v>
      </c>
      <c r="W240" s="8">
        <v>0.46</v>
      </c>
      <c r="X240" s="8">
        <v>0.51</v>
      </c>
    </row>
    <row r="241" spans="1:24" ht="14.4" x14ac:dyDescent="0.3">
      <c r="A241" s="27"/>
      <c r="B241" s="6" t="s">
        <v>66</v>
      </c>
      <c r="C241" s="7">
        <v>0.17</v>
      </c>
      <c r="D241" s="7">
        <v>0.17</v>
      </c>
      <c r="E241" s="7">
        <v>0.17</v>
      </c>
      <c r="F241" s="7">
        <v>0.18</v>
      </c>
      <c r="G241" s="7">
        <v>0.18</v>
      </c>
      <c r="H241" s="7">
        <v>0.17</v>
      </c>
      <c r="I241" s="7">
        <v>0.19</v>
      </c>
      <c r="J241" s="7">
        <v>0.2</v>
      </c>
      <c r="K241" s="7">
        <v>0.19</v>
      </c>
      <c r="L241" s="7">
        <v>0.19</v>
      </c>
      <c r="M241" s="7">
        <v>0.19</v>
      </c>
      <c r="N241" s="7">
        <v>0.18</v>
      </c>
      <c r="O241" s="7">
        <v>0.18</v>
      </c>
      <c r="P241" s="7">
        <v>0.19</v>
      </c>
      <c r="Q241" s="7">
        <v>0.17</v>
      </c>
      <c r="R241" s="7">
        <v>0.18</v>
      </c>
      <c r="S241" s="7">
        <v>0.19</v>
      </c>
      <c r="T241" s="7">
        <v>0.21</v>
      </c>
      <c r="U241" s="7">
        <v>0.21</v>
      </c>
      <c r="V241" s="7">
        <v>0.21</v>
      </c>
      <c r="W241" s="7">
        <v>0.21</v>
      </c>
      <c r="X241" s="7">
        <v>0.22</v>
      </c>
    </row>
    <row r="242" spans="1:24" ht="14.4" x14ac:dyDescent="0.3">
      <c r="A242" s="27"/>
      <c r="B242" s="6" t="s">
        <v>67</v>
      </c>
      <c r="C242" s="8">
        <v>0</v>
      </c>
      <c r="D242" s="8">
        <v>0</v>
      </c>
      <c r="E242" s="8">
        <v>0</v>
      </c>
      <c r="F242" s="8">
        <v>0</v>
      </c>
      <c r="G242" s="8">
        <v>0</v>
      </c>
      <c r="H242" s="8">
        <v>0</v>
      </c>
      <c r="I242" s="8">
        <v>0</v>
      </c>
      <c r="J242" s="8">
        <v>0</v>
      </c>
      <c r="K242" s="8">
        <v>0</v>
      </c>
      <c r="L242" s="8">
        <v>0</v>
      </c>
      <c r="M242" s="8">
        <v>0</v>
      </c>
      <c r="N242" s="8">
        <v>0</v>
      </c>
      <c r="O242" s="8">
        <v>0</v>
      </c>
      <c r="P242" s="8">
        <v>0</v>
      </c>
      <c r="Q242" s="8">
        <v>0</v>
      </c>
      <c r="R242" s="8">
        <v>0</v>
      </c>
      <c r="S242" s="8">
        <v>0</v>
      </c>
      <c r="T242" s="8">
        <v>0</v>
      </c>
      <c r="U242" s="8">
        <v>0</v>
      </c>
      <c r="V242" s="8">
        <v>0</v>
      </c>
      <c r="W242" s="8">
        <v>0</v>
      </c>
      <c r="X242" s="8">
        <v>0</v>
      </c>
    </row>
    <row r="243" spans="1:24" ht="14.4" x14ac:dyDescent="0.3">
      <c r="A243" s="27"/>
      <c r="B243" s="6" t="s">
        <v>68</v>
      </c>
      <c r="C243" s="7">
        <v>0</v>
      </c>
      <c r="D243" s="7">
        <v>0</v>
      </c>
      <c r="E243" s="7">
        <v>0</v>
      </c>
      <c r="F243" s="7">
        <v>0</v>
      </c>
      <c r="G243" s="7">
        <v>0</v>
      </c>
      <c r="H243" s="7">
        <v>0.01</v>
      </c>
      <c r="I243" s="7">
        <v>0.01</v>
      </c>
      <c r="J243" s="7">
        <v>0</v>
      </c>
      <c r="K243" s="7">
        <v>0.01</v>
      </c>
      <c r="L243" s="7">
        <v>0.01</v>
      </c>
      <c r="M243" s="7">
        <v>0.01</v>
      </c>
      <c r="N243" s="7">
        <v>0.01</v>
      </c>
      <c r="O243" s="7">
        <v>0.01</v>
      </c>
      <c r="P243" s="7">
        <v>0.01</v>
      </c>
      <c r="Q243" s="7">
        <v>0.01</v>
      </c>
      <c r="R243" s="7">
        <v>0.01</v>
      </c>
      <c r="S243" s="7">
        <v>0.01</v>
      </c>
      <c r="T243" s="7">
        <v>0.02</v>
      </c>
      <c r="U243" s="7">
        <v>0.03</v>
      </c>
      <c r="V243" s="7">
        <v>0.04</v>
      </c>
      <c r="W243" s="7">
        <v>0.04</v>
      </c>
      <c r="X243" s="7">
        <v>0.03</v>
      </c>
    </row>
    <row r="244" spans="1:24" ht="14.4" x14ac:dyDescent="0.3">
      <c r="A244" s="27"/>
      <c r="B244" s="6" t="s">
        <v>69</v>
      </c>
      <c r="C244" s="8">
        <v>0</v>
      </c>
      <c r="D244" s="8">
        <v>0</v>
      </c>
      <c r="E244" s="8">
        <v>0</v>
      </c>
      <c r="F244" s="8">
        <v>0</v>
      </c>
      <c r="G244" s="8">
        <v>0</v>
      </c>
      <c r="H244" s="8">
        <v>0</v>
      </c>
      <c r="I244" s="8">
        <v>0</v>
      </c>
      <c r="J244" s="8">
        <v>0</v>
      </c>
      <c r="K244" s="8">
        <v>0</v>
      </c>
      <c r="L244" s="8">
        <v>0</v>
      </c>
      <c r="M244" s="8">
        <v>0</v>
      </c>
      <c r="N244" s="8">
        <v>0</v>
      </c>
      <c r="O244" s="8">
        <v>0</v>
      </c>
      <c r="P244" s="8">
        <v>0</v>
      </c>
      <c r="Q244" s="8">
        <v>0</v>
      </c>
      <c r="R244" s="8">
        <v>0</v>
      </c>
      <c r="S244" s="8">
        <v>0</v>
      </c>
      <c r="T244" s="8">
        <v>0</v>
      </c>
      <c r="U244" s="8">
        <v>0</v>
      </c>
      <c r="V244" s="8">
        <v>0</v>
      </c>
      <c r="W244" s="8">
        <v>0</v>
      </c>
      <c r="X244" s="8">
        <v>0</v>
      </c>
    </row>
    <row r="245" spans="1:24" ht="14.4" x14ac:dyDescent="0.3">
      <c r="A245" s="27"/>
      <c r="B245" s="6" t="s">
        <v>70</v>
      </c>
      <c r="C245" s="7">
        <v>0</v>
      </c>
      <c r="D245" s="7">
        <v>0</v>
      </c>
      <c r="E245" s="7">
        <v>0</v>
      </c>
      <c r="F245" s="7">
        <v>0</v>
      </c>
      <c r="G245" s="7">
        <v>0</v>
      </c>
      <c r="H245" s="7">
        <v>0</v>
      </c>
      <c r="I245" s="7">
        <v>0</v>
      </c>
      <c r="J245" s="7">
        <v>0</v>
      </c>
      <c r="K245" s="7">
        <v>0</v>
      </c>
      <c r="L245" s="7">
        <v>0</v>
      </c>
      <c r="M245" s="7">
        <v>0</v>
      </c>
      <c r="N245" s="7">
        <v>0</v>
      </c>
      <c r="O245" s="7">
        <v>0</v>
      </c>
      <c r="P245" s="7">
        <v>0</v>
      </c>
      <c r="Q245" s="7">
        <v>0</v>
      </c>
      <c r="R245" s="7">
        <v>0.01</v>
      </c>
      <c r="S245" s="7">
        <v>0.01</v>
      </c>
      <c r="T245" s="7">
        <v>0.01</v>
      </c>
      <c r="U245" s="7">
        <v>0.01</v>
      </c>
      <c r="V245" s="7">
        <v>0.01</v>
      </c>
      <c r="W245" s="7">
        <v>0.02</v>
      </c>
      <c r="X245" s="7">
        <v>0.01</v>
      </c>
    </row>
    <row r="246" spans="1:24" ht="14.4" x14ac:dyDescent="0.3">
      <c r="A246" s="28" t="s">
        <v>49</v>
      </c>
      <c r="B246" s="6" t="s">
        <v>6</v>
      </c>
      <c r="C246" s="8">
        <v>0.2</v>
      </c>
      <c r="D246" s="8">
        <v>0.2</v>
      </c>
      <c r="E246" s="8">
        <v>0.22</v>
      </c>
      <c r="F246" s="8">
        <v>0.25</v>
      </c>
      <c r="G246" s="8">
        <v>0.22</v>
      </c>
      <c r="H246" s="8">
        <v>0.25</v>
      </c>
      <c r="I246" s="8">
        <v>0.24</v>
      </c>
      <c r="J246" s="8">
        <v>0.24</v>
      </c>
      <c r="K246" s="8">
        <v>0.24</v>
      </c>
      <c r="L246" s="8">
        <v>0.23</v>
      </c>
      <c r="M246" s="8">
        <v>0.26</v>
      </c>
      <c r="N246" s="8">
        <v>0.27</v>
      </c>
      <c r="O246" s="8">
        <v>0.24</v>
      </c>
      <c r="P246" s="8">
        <v>0.25</v>
      </c>
      <c r="Q246" s="8">
        <v>0.25</v>
      </c>
      <c r="R246" s="8">
        <v>0.25</v>
      </c>
      <c r="S246" s="8">
        <v>0.24</v>
      </c>
      <c r="T246" s="8">
        <v>0.25</v>
      </c>
      <c r="U246" s="8">
        <v>0.25</v>
      </c>
      <c r="V246" s="8">
        <v>0.25</v>
      </c>
      <c r="W246" s="8">
        <v>0.25</v>
      </c>
      <c r="X246" s="8">
        <v>0.26</v>
      </c>
    </row>
    <row r="247" spans="1:24" ht="14.4" x14ac:dyDescent="0.3">
      <c r="A247" s="27"/>
      <c r="B247" s="6" t="s">
        <v>63</v>
      </c>
      <c r="C247" s="7">
        <v>0.12</v>
      </c>
      <c r="D247" s="7">
        <v>0.12</v>
      </c>
      <c r="E247" s="7">
        <v>0.12</v>
      </c>
      <c r="F247" s="7">
        <v>0.12</v>
      </c>
      <c r="G247" s="7">
        <v>0.12</v>
      </c>
      <c r="H247" s="7">
        <v>0.13</v>
      </c>
      <c r="I247" s="7">
        <v>0.13</v>
      </c>
      <c r="J247" s="7">
        <v>0.14000000000000001</v>
      </c>
      <c r="K247" s="7">
        <v>0.15</v>
      </c>
      <c r="L247" s="7">
        <v>0.15</v>
      </c>
      <c r="M247" s="7">
        <v>0.17</v>
      </c>
      <c r="N247" s="7">
        <v>0.19</v>
      </c>
      <c r="O247" s="7">
        <v>0.2</v>
      </c>
      <c r="P247" s="7">
        <v>0.21</v>
      </c>
      <c r="Q247" s="7">
        <v>0.21</v>
      </c>
      <c r="R247" s="7">
        <v>0.21</v>
      </c>
      <c r="S247" s="7">
        <v>0.21</v>
      </c>
      <c r="T247" s="7">
        <v>0.21</v>
      </c>
      <c r="U247" s="7">
        <v>0.21</v>
      </c>
      <c r="V247" s="7">
        <v>0.21</v>
      </c>
      <c r="W247" s="7">
        <v>0.21</v>
      </c>
      <c r="X247" s="7">
        <v>0.2</v>
      </c>
    </row>
    <row r="248" spans="1:24" ht="14.4" x14ac:dyDescent="0.3">
      <c r="A248" s="27"/>
      <c r="B248" s="6" t="s">
        <v>64</v>
      </c>
      <c r="C248" s="8">
        <v>0.1</v>
      </c>
      <c r="D248" s="8">
        <v>0.1</v>
      </c>
      <c r="E248" s="8">
        <v>0.1</v>
      </c>
      <c r="F248" s="8">
        <v>0.1</v>
      </c>
      <c r="G248" s="8">
        <v>0.11</v>
      </c>
      <c r="H248" s="8">
        <v>0.12</v>
      </c>
      <c r="I248" s="8">
        <v>0.12</v>
      </c>
      <c r="J248" s="8">
        <v>0.12</v>
      </c>
      <c r="K248" s="8">
        <v>0.1</v>
      </c>
      <c r="L248" s="8">
        <v>0.09</v>
      </c>
      <c r="M248" s="8">
        <v>0.09</v>
      </c>
      <c r="N248" s="8">
        <v>0.11</v>
      </c>
      <c r="O248" s="8">
        <v>0.11</v>
      </c>
      <c r="P248" s="8">
        <v>0.11</v>
      </c>
      <c r="Q248" s="8">
        <v>0.11</v>
      </c>
      <c r="R248" s="8">
        <v>0.12</v>
      </c>
      <c r="S248" s="8">
        <v>0.13</v>
      </c>
      <c r="T248" s="8">
        <v>0.13</v>
      </c>
      <c r="U248" s="8">
        <v>0.14000000000000001</v>
      </c>
      <c r="V248" s="8">
        <v>0.14000000000000001</v>
      </c>
      <c r="W248" s="8">
        <v>0.15</v>
      </c>
      <c r="X248" s="8">
        <v>0.15</v>
      </c>
    </row>
    <row r="249" spans="1:24" ht="14.4" x14ac:dyDescent="0.3">
      <c r="A249" s="27"/>
      <c r="B249" s="6" t="s">
        <v>65</v>
      </c>
      <c r="C249" s="7">
        <v>0.56000000000000005</v>
      </c>
      <c r="D249" s="7">
        <v>0.59</v>
      </c>
      <c r="E249" s="7">
        <v>0.6</v>
      </c>
      <c r="F249" s="7">
        <v>0.59</v>
      </c>
      <c r="G249" s="7">
        <v>0.59</v>
      </c>
      <c r="H249" s="7">
        <v>0.61</v>
      </c>
      <c r="I249" s="7">
        <v>0.59</v>
      </c>
      <c r="J249" s="7">
        <v>0.59</v>
      </c>
      <c r="K249" s="7">
        <v>0.56000000000000005</v>
      </c>
      <c r="L249" s="7">
        <v>0.59</v>
      </c>
      <c r="M249" s="7">
        <v>0.63</v>
      </c>
      <c r="N249" s="7">
        <v>0.67</v>
      </c>
      <c r="O249" s="7">
        <v>0.67</v>
      </c>
      <c r="P249" s="7">
        <v>0.68</v>
      </c>
      <c r="Q249" s="7">
        <v>0.7</v>
      </c>
      <c r="R249" s="7">
        <v>0.7</v>
      </c>
      <c r="S249" s="7">
        <v>0.7</v>
      </c>
      <c r="T249" s="7">
        <v>0.71</v>
      </c>
      <c r="U249" s="7">
        <v>0.69</v>
      </c>
      <c r="V249" s="7">
        <v>0.68</v>
      </c>
      <c r="W249" s="7">
        <v>0.68</v>
      </c>
      <c r="X249" s="7">
        <v>0.71</v>
      </c>
    </row>
    <row r="250" spans="1:24" ht="14.4" x14ac:dyDescent="0.3">
      <c r="A250" s="27"/>
      <c r="B250" s="6" t="s">
        <v>66</v>
      </c>
      <c r="C250" s="8">
        <v>0.25</v>
      </c>
      <c r="D250" s="8">
        <v>0.25</v>
      </c>
      <c r="E250" s="8">
        <v>0.26</v>
      </c>
      <c r="F250" s="8">
        <v>0.25</v>
      </c>
      <c r="G250" s="8">
        <v>0.26</v>
      </c>
      <c r="H250" s="8">
        <v>0.27</v>
      </c>
      <c r="I250" s="8">
        <v>0.27</v>
      </c>
      <c r="J250" s="8">
        <v>0.27</v>
      </c>
      <c r="K250" s="8">
        <v>0.26</v>
      </c>
      <c r="L250" s="8">
        <v>0.27</v>
      </c>
      <c r="M250" s="8">
        <v>0.28000000000000003</v>
      </c>
      <c r="N250" s="8">
        <v>0.31</v>
      </c>
      <c r="O250" s="8">
        <v>0.31</v>
      </c>
      <c r="P250" s="8">
        <v>0.32</v>
      </c>
      <c r="Q250" s="8">
        <v>0.33</v>
      </c>
      <c r="R250" s="8">
        <v>0.33</v>
      </c>
      <c r="S250" s="8">
        <v>0.34</v>
      </c>
      <c r="T250" s="8">
        <v>0.34</v>
      </c>
      <c r="U250" s="8">
        <v>0.34</v>
      </c>
      <c r="V250" s="8">
        <v>0.34</v>
      </c>
      <c r="W250" s="8">
        <v>0.34</v>
      </c>
      <c r="X250" s="8">
        <v>0.34</v>
      </c>
    </row>
    <row r="251" spans="1:24" ht="14.4" x14ac:dyDescent="0.3">
      <c r="A251" s="27"/>
      <c r="B251" s="6" t="s">
        <v>67</v>
      </c>
      <c r="C251" s="7">
        <v>0.25</v>
      </c>
      <c r="D251" s="7">
        <v>0.25</v>
      </c>
      <c r="E251" s="7">
        <v>0.27</v>
      </c>
      <c r="F251" s="7">
        <v>0.32</v>
      </c>
      <c r="G251" s="7">
        <v>0.28000000000000003</v>
      </c>
      <c r="H251" s="7">
        <v>0.34</v>
      </c>
      <c r="I251" s="7">
        <v>0.37</v>
      </c>
      <c r="J251" s="7">
        <v>0.37</v>
      </c>
      <c r="K251" s="7">
        <v>0.31</v>
      </c>
      <c r="L251" s="7">
        <v>0.31</v>
      </c>
      <c r="M251" s="7">
        <v>0.28000000000000003</v>
      </c>
      <c r="N251" s="7">
        <v>0.25</v>
      </c>
      <c r="O251" s="7">
        <v>0.28000000000000003</v>
      </c>
      <c r="P251" s="7">
        <v>0.33</v>
      </c>
      <c r="Q251" s="7">
        <v>0.26</v>
      </c>
      <c r="R251" s="7">
        <v>0.25</v>
      </c>
      <c r="S251" s="7">
        <v>0.25</v>
      </c>
      <c r="T251" s="7">
        <v>0.28999999999999998</v>
      </c>
      <c r="U251" s="7">
        <v>0.32</v>
      </c>
      <c r="V251" s="7">
        <v>0.28999999999999998</v>
      </c>
      <c r="W251" s="7">
        <v>0.24</v>
      </c>
      <c r="X251" s="7">
        <v>0.3</v>
      </c>
    </row>
    <row r="252" spans="1:24" ht="14.4" x14ac:dyDescent="0.3">
      <c r="A252" s="27"/>
      <c r="B252" s="6" t="s">
        <v>68</v>
      </c>
      <c r="C252" s="8">
        <v>0.05</v>
      </c>
      <c r="D252" s="8">
        <v>0.06</v>
      </c>
      <c r="E252" s="8">
        <v>0.06</v>
      </c>
      <c r="F252" s="8">
        <v>0.08</v>
      </c>
      <c r="G252" s="8">
        <v>0.08</v>
      </c>
      <c r="H252" s="8">
        <v>0.1</v>
      </c>
      <c r="I252" s="8">
        <v>0.1</v>
      </c>
      <c r="J252" s="8">
        <v>0.09</v>
      </c>
      <c r="K252" s="8">
        <v>0.06</v>
      </c>
      <c r="L252" s="8">
        <v>0.08</v>
      </c>
      <c r="M252" s="8">
        <v>0.13</v>
      </c>
      <c r="N252" s="8">
        <v>0.11</v>
      </c>
      <c r="O252" s="8">
        <v>0.09</v>
      </c>
      <c r="P252" s="8">
        <v>0.1</v>
      </c>
      <c r="Q252" s="8">
        <v>0.12</v>
      </c>
      <c r="R252" s="8">
        <v>0.11</v>
      </c>
      <c r="S252" s="8">
        <v>0.1</v>
      </c>
      <c r="T252" s="8">
        <v>0.09</v>
      </c>
      <c r="U252" s="8">
        <v>0.08</v>
      </c>
      <c r="V252" s="8">
        <v>0.08</v>
      </c>
      <c r="W252" s="8">
        <v>0.08</v>
      </c>
      <c r="X252" s="8">
        <v>0.08</v>
      </c>
    </row>
    <row r="253" spans="1:24" ht="14.4" x14ac:dyDescent="0.3">
      <c r="A253" s="27"/>
      <c r="B253" s="6" t="s">
        <v>69</v>
      </c>
      <c r="C253" s="7">
        <v>0.15</v>
      </c>
      <c r="D253" s="7">
        <v>0.12</v>
      </c>
      <c r="E253" s="7">
        <v>0.23</v>
      </c>
      <c r="F253" s="7">
        <v>0.33</v>
      </c>
      <c r="G253" s="7">
        <v>0.19</v>
      </c>
      <c r="H253" s="7">
        <v>0.23</v>
      </c>
      <c r="I253" s="7">
        <v>0.16</v>
      </c>
      <c r="J253" s="7">
        <v>0.16</v>
      </c>
      <c r="K253" s="7">
        <v>0.28000000000000003</v>
      </c>
      <c r="L253" s="7">
        <v>0.16</v>
      </c>
      <c r="M253" s="7">
        <v>0.31</v>
      </c>
      <c r="N253" s="7">
        <v>0.3</v>
      </c>
      <c r="O253" s="7">
        <v>0.12</v>
      </c>
      <c r="P253" s="7">
        <v>0.1</v>
      </c>
      <c r="Q253" s="7">
        <v>0.14000000000000001</v>
      </c>
      <c r="R253" s="7">
        <v>0.11</v>
      </c>
      <c r="S253" s="7">
        <v>0.08</v>
      </c>
      <c r="T253" s="7">
        <v>0.09</v>
      </c>
      <c r="U253" s="7">
        <v>0.09</v>
      </c>
      <c r="V253" s="7">
        <v>7.0000000000000007E-2</v>
      </c>
      <c r="W253" s="7">
        <v>0.13</v>
      </c>
      <c r="X253" s="7">
        <v>0.13</v>
      </c>
    </row>
    <row r="254" spans="1:24" ht="14.4" x14ac:dyDescent="0.3">
      <c r="A254" s="27"/>
      <c r="B254" s="6" t="s">
        <v>70</v>
      </c>
      <c r="C254" s="8">
        <v>0.15</v>
      </c>
      <c r="D254" s="8">
        <v>0.14000000000000001</v>
      </c>
      <c r="E254" s="8">
        <v>0.18</v>
      </c>
      <c r="F254" s="8">
        <v>0.23</v>
      </c>
      <c r="G254" s="8">
        <v>0.18</v>
      </c>
      <c r="H254" s="8">
        <v>0.22</v>
      </c>
      <c r="I254" s="8">
        <v>0.21</v>
      </c>
      <c r="J254" s="8">
        <v>0.2</v>
      </c>
      <c r="K254" s="8">
        <v>0.21</v>
      </c>
      <c r="L254" s="8">
        <v>0.18</v>
      </c>
      <c r="M254" s="8">
        <v>0.24</v>
      </c>
      <c r="N254" s="8">
        <v>0.22</v>
      </c>
      <c r="O254" s="8">
        <v>0.16</v>
      </c>
      <c r="P254" s="8">
        <v>0.17</v>
      </c>
      <c r="Q254" s="8">
        <v>0.17</v>
      </c>
      <c r="R254" s="8">
        <v>0.15</v>
      </c>
      <c r="S254" s="8">
        <v>0.14000000000000001</v>
      </c>
      <c r="T254" s="8">
        <v>0.16</v>
      </c>
      <c r="U254" s="8">
        <v>0.16</v>
      </c>
      <c r="V254" s="8">
        <v>0.15</v>
      </c>
      <c r="W254" s="8">
        <v>0.15</v>
      </c>
      <c r="X254" s="8">
        <v>0.17</v>
      </c>
    </row>
    <row r="255" spans="1:24" ht="14.4" x14ac:dyDescent="0.3">
      <c r="A255" s="28" t="s">
        <v>76</v>
      </c>
      <c r="B255" s="6" t="s">
        <v>6</v>
      </c>
      <c r="C255" s="7">
        <v>0.08</v>
      </c>
      <c r="D255" s="7">
        <v>0.09</v>
      </c>
      <c r="E255" s="7">
        <v>0.08</v>
      </c>
      <c r="F255" s="7">
        <v>0.06</v>
      </c>
      <c r="G255" s="7">
        <v>0.06</v>
      </c>
      <c r="H255" s="7">
        <v>0.05</v>
      </c>
      <c r="I255" s="7">
        <v>0.06</v>
      </c>
      <c r="J255" s="7">
        <v>0.08</v>
      </c>
      <c r="K255" s="7">
        <v>0.08</v>
      </c>
      <c r="L255" s="7">
        <v>0.1</v>
      </c>
      <c r="M255" s="7">
        <v>7.0000000000000007E-2</v>
      </c>
      <c r="N255" s="7">
        <v>0.08</v>
      </c>
      <c r="O255" s="7">
        <v>0.08</v>
      </c>
      <c r="P255" s="7">
        <v>0.08</v>
      </c>
      <c r="Q255" s="7">
        <v>0.09</v>
      </c>
      <c r="R255" s="7">
        <v>0.09</v>
      </c>
      <c r="S255" s="7">
        <v>0.09</v>
      </c>
      <c r="T255" s="7">
        <v>0.09</v>
      </c>
      <c r="U255" s="7">
        <v>0.09</v>
      </c>
      <c r="V255" s="7">
        <v>0.08</v>
      </c>
      <c r="W255" s="7">
        <v>0.1</v>
      </c>
      <c r="X255" s="7">
        <v>0.11</v>
      </c>
    </row>
    <row r="256" spans="1:24" ht="14.4" x14ac:dyDescent="0.3">
      <c r="A256" s="27"/>
      <c r="B256" s="6" t="s">
        <v>63</v>
      </c>
      <c r="C256" s="8">
        <v>0.08</v>
      </c>
      <c r="D256" s="8">
        <v>0.08</v>
      </c>
      <c r="E256" s="8">
        <v>7.0000000000000007E-2</v>
      </c>
      <c r="F256" s="8">
        <v>0.06</v>
      </c>
      <c r="G256" s="8">
        <v>0.06</v>
      </c>
      <c r="H256" s="8">
        <v>0.06</v>
      </c>
      <c r="I256" s="8">
        <v>7.0000000000000007E-2</v>
      </c>
      <c r="J256" s="8">
        <v>7.0000000000000007E-2</v>
      </c>
      <c r="K256" s="8">
        <v>0.08</v>
      </c>
      <c r="L256" s="8">
        <v>0.08</v>
      </c>
      <c r="M256" s="8">
        <v>0.09</v>
      </c>
      <c r="N256" s="8">
        <v>0.1</v>
      </c>
      <c r="O256" s="8">
        <v>0.11</v>
      </c>
      <c r="P256" s="8">
        <v>0.12</v>
      </c>
      <c r="Q256" s="8">
        <v>0.14000000000000001</v>
      </c>
      <c r="R256" s="8">
        <v>0.14000000000000001</v>
      </c>
      <c r="S256" s="8">
        <v>0.14000000000000001</v>
      </c>
      <c r="T256" s="8">
        <v>0.11</v>
      </c>
      <c r="U256" s="8">
        <v>0.11</v>
      </c>
      <c r="V256" s="8">
        <v>0.12</v>
      </c>
      <c r="W256" s="8">
        <v>0.15</v>
      </c>
      <c r="X256" s="8">
        <v>0.14000000000000001</v>
      </c>
    </row>
    <row r="257" spans="1:24" ht="14.4" x14ac:dyDescent="0.3">
      <c r="A257" s="27"/>
      <c r="B257" s="6" t="s">
        <v>64</v>
      </c>
      <c r="C257" s="7">
        <v>0.03</v>
      </c>
      <c r="D257" s="7">
        <v>0.03</v>
      </c>
      <c r="E257" s="7">
        <v>0.03</v>
      </c>
      <c r="F257" s="7">
        <v>0.03</v>
      </c>
      <c r="G257" s="7">
        <v>0.01</v>
      </c>
      <c r="H257" s="7">
        <v>0.02</v>
      </c>
      <c r="I257" s="7">
        <v>0.04</v>
      </c>
      <c r="J257" s="7">
        <v>0.05</v>
      </c>
      <c r="K257" s="7">
        <v>0.04</v>
      </c>
      <c r="L257" s="7">
        <v>0.04</v>
      </c>
      <c r="M257" s="7">
        <v>0.04</v>
      </c>
      <c r="N257" s="7">
        <v>0.04</v>
      </c>
      <c r="O257" s="7">
        <v>0.04</v>
      </c>
      <c r="P257" s="7">
        <v>0.04</v>
      </c>
      <c r="Q257" s="7">
        <v>0.05</v>
      </c>
      <c r="R257" s="7">
        <v>0.05</v>
      </c>
      <c r="S257" s="7">
        <v>0.05</v>
      </c>
      <c r="T257" s="7">
        <v>0.04</v>
      </c>
      <c r="U257" s="7">
        <v>0.04</v>
      </c>
      <c r="V257" s="7">
        <v>0.04</v>
      </c>
      <c r="W257" s="7">
        <v>0.04</v>
      </c>
      <c r="X257" s="7">
        <v>0.04</v>
      </c>
    </row>
    <row r="258" spans="1:24" ht="14.4" x14ac:dyDescent="0.3">
      <c r="A258" s="27"/>
      <c r="B258" s="6" t="s">
        <v>65</v>
      </c>
      <c r="C258" s="8">
        <v>0.41</v>
      </c>
      <c r="D258" s="8">
        <v>0.43</v>
      </c>
      <c r="E258" s="8">
        <v>0.39</v>
      </c>
      <c r="F258" s="8">
        <v>0.27</v>
      </c>
      <c r="G258" s="8">
        <v>0.28000000000000003</v>
      </c>
      <c r="H258" s="8">
        <v>0.25</v>
      </c>
      <c r="I258" s="8">
        <v>0.27</v>
      </c>
      <c r="J258" s="8">
        <v>0.4</v>
      </c>
      <c r="K258" s="8">
        <v>0.41</v>
      </c>
      <c r="L258" s="8">
        <v>0.5</v>
      </c>
      <c r="M258" s="8">
        <v>0.32</v>
      </c>
      <c r="N258" s="8">
        <v>0.33</v>
      </c>
      <c r="O258" s="8">
        <v>0.32</v>
      </c>
      <c r="P258" s="8">
        <v>0.33</v>
      </c>
      <c r="Q258" s="8">
        <v>0.35</v>
      </c>
      <c r="R258" s="8">
        <v>0.31</v>
      </c>
      <c r="S258" s="8">
        <v>0.36</v>
      </c>
      <c r="T258" s="8">
        <v>0.37</v>
      </c>
      <c r="U258" s="8">
        <v>0.39</v>
      </c>
      <c r="V258" s="8">
        <v>0.33</v>
      </c>
      <c r="W258" s="8">
        <v>0.43</v>
      </c>
      <c r="X258" s="8">
        <v>0.47</v>
      </c>
    </row>
    <row r="259" spans="1:24" ht="14.4" x14ac:dyDescent="0.3">
      <c r="A259" s="27"/>
      <c r="B259" s="6" t="s">
        <v>66</v>
      </c>
      <c r="C259" s="7">
        <v>0.16</v>
      </c>
      <c r="D259" s="7">
        <v>0.16</v>
      </c>
      <c r="E259" s="7">
        <v>0.15</v>
      </c>
      <c r="F259" s="7">
        <v>0.11</v>
      </c>
      <c r="G259" s="7">
        <v>0.11</v>
      </c>
      <c r="H259" s="7">
        <v>0.1</v>
      </c>
      <c r="I259" s="7">
        <v>0.12</v>
      </c>
      <c r="J259" s="7">
        <v>0.16</v>
      </c>
      <c r="K259" s="7">
        <v>0.16</v>
      </c>
      <c r="L259" s="7">
        <v>0.18</v>
      </c>
      <c r="M259" s="7">
        <v>0.14000000000000001</v>
      </c>
      <c r="N259" s="7">
        <v>0.15</v>
      </c>
      <c r="O259" s="7">
        <v>0.15</v>
      </c>
      <c r="P259" s="7">
        <v>0.16</v>
      </c>
      <c r="Q259" s="7">
        <v>0.18</v>
      </c>
      <c r="R259" s="7">
        <v>0.17</v>
      </c>
      <c r="S259" s="7">
        <v>0.18</v>
      </c>
      <c r="T259" s="7">
        <v>0.16</v>
      </c>
      <c r="U259" s="7">
        <v>0.17</v>
      </c>
      <c r="V259" s="7">
        <v>0.16</v>
      </c>
      <c r="W259" s="7">
        <v>0.2</v>
      </c>
      <c r="X259" s="7">
        <v>0.21</v>
      </c>
    </row>
    <row r="260" spans="1:24" ht="14.4" x14ac:dyDescent="0.3">
      <c r="A260" s="27"/>
      <c r="B260" s="6" t="s">
        <v>67</v>
      </c>
      <c r="C260" s="8">
        <v>0</v>
      </c>
      <c r="D260" s="8">
        <v>0</v>
      </c>
      <c r="E260" s="8">
        <v>0</v>
      </c>
      <c r="F260" s="8">
        <v>0</v>
      </c>
      <c r="G260" s="8">
        <v>0</v>
      </c>
      <c r="H260" s="8">
        <v>0</v>
      </c>
      <c r="I260" s="8">
        <v>0</v>
      </c>
      <c r="J260" s="8">
        <v>0</v>
      </c>
      <c r="K260" s="8">
        <v>0</v>
      </c>
      <c r="L260" s="8">
        <v>0</v>
      </c>
      <c r="M260" s="8">
        <v>0</v>
      </c>
      <c r="N260" s="8">
        <v>0</v>
      </c>
      <c r="O260" s="8">
        <v>0</v>
      </c>
      <c r="P260" s="8">
        <v>0</v>
      </c>
      <c r="Q260" s="8">
        <v>0</v>
      </c>
      <c r="R260" s="8">
        <v>0</v>
      </c>
      <c r="S260" s="8">
        <v>0</v>
      </c>
      <c r="T260" s="8">
        <v>0</v>
      </c>
      <c r="U260" s="8">
        <v>0</v>
      </c>
      <c r="V260" s="8">
        <v>0</v>
      </c>
      <c r="W260" s="8">
        <v>0</v>
      </c>
      <c r="X260" s="8">
        <v>0</v>
      </c>
    </row>
    <row r="261" spans="1:24" ht="14.4" x14ac:dyDescent="0.3">
      <c r="A261" s="27"/>
      <c r="B261" s="6" t="s">
        <v>68</v>
      </c>
      <c r="C261" s="7">
        <v>0.01</v>
      </c>
      <c r="D261" s="7">
        <v>0.01</v>
      </c>
      <c r="E261" s="7">
        <v>0.01</v>
      </c>
      <c r="F261" s="7">
        <v>0.01</v>
      </c>
      <c r="G261" s="7">
        <v>0.01</v>
      </c>
      <c r="H261" s="7">
        <v>0.01</v>
      </c>
      <c r="I261" s="7">
        <v>0.01</v>
      </c>
      <c r="J261" s="7">
        <v>0.01</v>
      </c>
      <c r="K261" s="7">
        <v>0.01</v>
      </c>
      <c r="L261" s="7">
        <v>0.01</v>
      </c>
      <c r="M261" s="7">
        <v>0.01</v>
      </c>
      <c r="N261" s="7">
        <v>0.01</v>
      </c>
      <c r="O261" s="7">
        <v>0.01</v>
      </c>
      <c r="P261" s="7">
        <v>0.01</v>
      </c>
      <c r="Q261" s="7">
        <v>0.01</v>
      </c>
      <c r="R261" s="7">
        <v>0.01</v>
      </c>
      <c r="S261" s="7">
        <v>0.01</v>
      </c>
      <c r="T261" s="7">
        <v>0.01</v>
      </c>
      <c r="U261" s="7">
        <v>0.01</v>
      </c>
      <c r="V261" s="7">
        <v>0.01</v>
      </c>
      <c r="W261" s="7">
        <v>0.01</v>
      </c>
      <c r="X261" s="7">
        <v>0.01</v>
      </c>
    </row>
    <row r="262" spans="1:24" ht="14.4" x14ac:dyDescent="0.3">
      <c r="A262" s="27"/>
      <c r="B262" s="6" t="s">
        <v>69</v>
      </c>
      <c r="C262" s="8">
        <v>0</v>
      </c>
      <c r="D262" s="8">
        <v>0</v>
      </c>
      <c r="E262" s="8">
        <v>0</v>
      </c>
      <c r="F262" s="8">
        <v>0</v>
      </c>
      <c r="G262" s="8">
        <v>0</v>
      </c>
      <c r="H262" s="8">
        <v>0</v>
      </c>
      <c r="I262" s="8">
        <v>0</v>
      </c>
      <c r="J262" s="8">
        <v>0</v>
      </c>
      <c r="K262" s="8">
        <v>0</v>
      </c>
      <c r="L262" s="8">
        <v>0</v>
      </c>
      <c r="M262" s="8">
        <v>0</v>
      </c>
      <c r="N262" s="8">
        <v>0</v>
      </c>
      <c r="O262" s="8">
        <v>0</v>
      </c>
      <c r="P262" s="8">
        <v>0</v>
      </c>
      <c r="Q262" s="8">
        <v>0</v>
      </c>
      <c r="R262" s="8">
        <v>0</v>
      </c>
      <c r="S262" s="8">
        <v>0</v>
      </c>
      <c r="T262" s="8">
        <v>0</v>
      </c>
      <c r="U262" s="8">
        <v>0</v>
      </c>
      <c r="V262" s="8">
        <v>0</v>
      </c>
      <c r="W262" s="8">
        <v>0</v>
      </c>
      <c r="X262" s="8">
        <v>0</v>
      </c>
    </row>
    <row r="263" spans="1:24" ht="14.4" x14ac:dyDescent="0.3">
      <c r="A263" s="27"/>
      <c r="B263" s="6" t="s">
        <v>70</v>
      </c>
      <c r="C263" s="7">
        <v>0</v>
      </c>
      <c r="D263" s="7">
        <v>0</v>
      </c>
      <c r="E263" s="7">
        <v>0</v>
      </c>
      <c r="F263" s="7">
        <v>0</v>
      </c>
      <c r="G263" s="7">
        <v>0</v>
      </c>
      <c r="H263" s="7">
        <v>0</v>
      </c>
      <c r="I263" s="7">
        <v>0</v>
      </c>
      <c r="J263" s="7">
        <v>0</v>
      </c>
      <c r="K263" s="7">
        <v>0</v>
      </c>
      <c r="L263" s="7">
        <v>0</v>
      </c>
      <c r="M263" s="7">
        <v>0</v>
      </c>
      <c r="N263" s="7">
        <v>0</v>
      </c>
      <c r="O263" s="7">
        <v>0</v>
      </c>
      <c r="P263" s="7">
        <v>0</v>
      </c>
      <c r="Q263" s="7">
        <v>0</v>
      </c>
      <c r="R263" s="7">
        <v>0</v>
      </c>
      <c r="S263" s="7">
        <v>0</v>
      </c>
      <c r="T263" s="7">
        <v>0</v>
      </c>
      <c r="U263" s="7">
        <v>0</v>
      </c>
      <c r="V263" s="7">
        <v>0</v>
      </c>
      <c r="W263" s="7">
        <v>0</v>
      </c>
      <c r="X263" s="7">
        <v>0</v>
      </c>
    </row>
    <row r="264" spans="1:24" ht="14.4" x14ac:dyDescent="0.3">
      <c r="A264" s="28" t="s">
        <v>51</v>
      </c>
      <c r="B264" s="6" t="s">
        <v>6</v>
      </c>
      <c r="C264" s="8">
        <v>0.09</v>
      </c>
      <c r="D264" s="8">
        <v>7.0000000000000007E-2</v>
      </c>
      <c r="E264" s="8">
        <v>0.08</v>
      </c>
      <c r="F264" s="8">
        <v>0.09</v>
      </c>
      <c r="G264" s="8">
        <v>0.09</v>
      </c>
      <c r="H264" s="8">
        <v>0.09</v>
      </c>
      <c r="I264" s="8">
        <v>0.1</v>
      </c>
      <c r="J264" s="8">
        <v>0.11</v>
      </c>
      <c r="K264" s="8">
        <v>0.11</v>
      </c>
      <c r="L264" s="8">
        <v>0.11</v>
      </c>
      <c r="M264" s="8">
        <v>0.1</v>
      </c>
      <c r="N264" s="8">
        <v>0.1</v>
      </c>
      <c r="O264" s="8">
        <v>0.11</v>
      </c>
      <c r="P264" s="8">
        <v>0.1</v>
      </c>
      <c r="Q264" s="8">
        <v>0.1</v>
      </c>
      <c r="R264" s="8">
        <v>0.1</v>
      </c>
      <c r="S264" s="8">
        <v>0.1</v>
      </c>
      <c r="T264" s="8">
        <v>0.09</v>
      </c>
      <c r="U264" s="8">
        <v>0.09</v>
      </c>
      <c r="V264" s="8">
        <v>0.09</v>
      </c>
      <c r="W264" s="8">
        <v>0.09</v>
      </c>
      <c r="X264" s="8">
        <v>0.1</v>
      </c>
    </row>
    <row r="265" spans="1:24" ht="14.4" x14ac:dyDescent="0.3">
      <c r="A265" s="27"/>
      <c r="B265" s="6" t="s">
        <v>63</v>
      </c>
      <c r="C265" s="7">
        <v>0</v>
      </c>
      <c r="D265" s="7">
        <v>0</v>
      </c>
      <c r="E265" s="7">
        <v>0</v>
      </c>
      <c r="F265" s="7">
        <v>0</v>
      </c>
      <c r="G265" s="7">
        <v>0</v>
      </c>
      <c r="H265" s="7">
        <v>0.02</v>
      </c>
      <c r="I265" s="7">
        <v>0.02</v>
      </c>
      <c r="J265" s="7">
        <v>0.03</v>
      </c>
      <c r="K265" s="7">
        <v>0.03</v>
      </c>
      <c r="L265" s="7">
        <v>0.04</v>
      </c>
      <c r="M265" s="7">
        <v>0.04</v>
      </c>
      <c r="N265" s="7">
        <v>0.04</v>
      </c>
      <c r="O265" s="7">
        <v>0.05</v>
      </c>
      <c r="P265" s="7">
        <v>0.05</v>
      </c>
      <c r="Q265" s="7">
        <v>0.05</v>
      </c>
      <c r="R265" s="7">
        <v>0.06</v>
      </c>
      <c r="S265" s="7">
        <v>0.06</v>
      </c>
      <c r="T265" s="7">
        <v>0.06</v>
      </c>
      <c r="U265" s="7">
        <v>0.06</v>
      </c>
      <c r="V265" s="7">
        <v>0.06</v>
      </c>
      <c r="W265" s="7">
        <v>0.06</v>
      </c>
      <c r="X265" s="7">
        <v>0.06</v>
      </c>
    </row>
    <row r="266" spans="1:24" ht="14.4" x14ac:dyDescent="0.3">
      <c r="A266" s="27"/>
      <c r="B266" s="6" t="s">
        <v>64</v>
      </c>
      <c r="C266" s="8">
        <v>0.03</v>
      </c>
      <c r="D266" s="8">
        <v>0.04</v>
      </c>
      <c r="E266" s="8">
        <v>0.04</v>
      </c>
      <c r="F266" s="8">
        <v>0.05</v>
      </c>
      <c r="G266" s="8">
        <v>0.05</v>
      </c>
      <c r="H266" s="8">
        <v>0.05</v>
      </c>
      <c r="I266" s="8">
        <v>0.06</v>
      </c>
      <c r="J266" s="8">
        <v>7.0000000000000007E-2</v>
      </c>
      <c r="K266" s="8">
        <v>7.0000000000000007E-2</v>
      </c>
      <c r="L266" s="8">
        <v>7.0000000000000007E-2</v>
      </c>
      <c r="M266" s="8">
        <v>7.0000000000000007E-2</v>
      </c>
      <c r="N266" s="8">
        <v>7.0000000000000007E-2</v>
      </c>
      <c r="O266" s="8">
        <v>7.0000000000000007E-2</v>
      </c>
      <c r="P266" s="8">
        <v>7.0000000000000007E-2</v>
      </c>
      <c r="Q266" s="8">
        <v>0.08</v>
      </c>
      <c r="R266" s="8">
        <v>0.09</v>
      </c>
      <c r="S266" s="8">
        <v>0.08</v>
      </c>
      <c r="T266" s="8">
        <v>0.08</v>
      </c>
      <c r="U266" s="8">
        <v>0.08</v>
      </c>
      <c r="V266" s="8">
        <v>0.08</v>
      </c>
      <c r="W266" s="8">
        <v>0.08</v>
      </c>
      <c r="X266" s="8">
        <v>0.08</v>
      </c>
    </row>
    <row r="267" spans="1:24" ht="14.4" x14ac:dyDescent="0.3">
      <c r="A267" s="27"/>
      <c r="B267" s="6" t="s">
        <v>65</v>
      </c>
      <c r="C267" s="7">
        <v>0.53</v>
      </c>
      <c r="D267" s="7">
        <v>0.43</v>
      </c>
      <c r="E267" s="7">
        <v>0.45</v>
      </c>
      <c r="F267" s="7">
        <v>0.51</v>
      </c>
      <c r="G267" s="7">
        <v>0.52</v>
      </c>
      <c r="H267" s="7">
        <v>0.53</v>
      </c>
      <c r="I267" s="7">
        <v>0.56000000000000005</v>
      </c>
      <c r="J267" s="7">
        <v>0.6</v>
      </c>
      <c r="K267" s="7">
        <v>0.57999999999999996</v>
      </c>
      <c r="L267" s="7">
        <v>0.55000000000000004</v>
      </c>
      <c r="M267" s="7">
        <v>0.5</v>
      </c>
      <c r="N267" s="7">
        <v>0.49</v>
      </c>
      <c r="O267" s="7">
        <v>0.52</v>
      </c>
      <c r="P267" s="7">
        <v>0.49</v>
      </c>
      <c r="Q267" s="7">
        <v>0.46</v>
      </c>
      <c r="R267" s="7">
        <v>0.45</v>
      </c>
      <c r="S267" s="7">
        <v>0.44</v>
      </c>
      <c r="T267" s="7">
        <v>0.4</v>
      </c>
      <c r="U267" s="7">
        <v>0.4</v>
      </c>
      <c r="V267" s="7">
        <v>0.38</v>
      </c>
      <c r="W267" s="7">
        <v>0.39</v>
      </c>
      <c r="X267" s="7">
        <v>0.48</v>
      </c>
    </row>
    <row r="268" spans="1:24" ht="14.4" x14ac:dyDescent="0.3">
      <c r="A268" s="27"/>
      <c r="B268" s="6" t="s">
        <v>66</v>
      </c>
      <c r="C268" s="8">
        <v>0.16</v>
      </c>
      <c r="D268" s="8">
        <v>0.13</v>
      </c>
      <c r="E268" s="8">
        <v>0.14000000000000001</v>
      </c>
      <c r="F268" s="8">
        <v>0.16</v>
      </c>
      <c r="G268" s="8">
        <v>0.16</v>
      </c>
      <c r="H268" s="8">
        <v>0.17</v>
      </c>
      <c r="I268" s="8">
        <v>0.19</v>
      </c>
      <c r="J268" s="8">
        <v>0.2</v>
      </c>
      <c r="K268" s="8">
        <v>0.2</v>
      </c>
      <c r="L268" s="8">
        <v>0.19</v>
      </c>
      <c r="M268" s="8">
        <v>0.18</v>
      </c>
      <c r="N268" s="8">
        <v>0.18</v>
      </c>
      <c r="O268" s="8">
        <v>0.19</v>
      </c>
      <c r="P268" s="8">
        <v>0.19</v>
      </c>
      <c r="Q268" s="8">
        <v>0.18</v>
      </c>
      <c r="R268" s="8">
        <v>0.18</v>
      </c>
      <c r="S268" s="8">
        <v>0.18</v>
      </c>
      <c r="T268" s="8">
        <v>0.17</v>
      </c>
      <c r="U268" s="8">
        <v>0.16</v>
      </c>
      <c r="V268" s="8">
        <v>0.16</v>
      </c>
      <c r="W268" s="8">
        <v>0.16</v>
      </c>
      <c r="X268" s="8">
        <v>0.19</v>
      </c>
    </row>
    <row r="269" spans="1:24" ht="14.4" x14ac:dyDescent="0.3">
      <c r="A269" s="27"/>
      <c r="B269" s="6" t="s">
        <v>67</v>
      </c>
      <c r="C269" s="7">
        <v>0</v>
      </c>
      <c r="D269" s="7">
        <v>0</v>
      </c>
      <c r="E269" s="7">
        <v>0</v>
      </c>
      <c r="F269" s="7">
        <v>0</v>
      </c>
      <c r="G269" s="7">
        <v>0</v>
      </c>
      <c r="H269" s="7">
        <v>0</v>
      </c>
      <c r="I269" s="7">
        <v>0</v>
      </c>
      <c r="J269" s="7">
        <v>0</v>
      </c>
      <c r="K269" s="7">
        <v>0</v>
      </c>
      <c r="L269" s="7">
        <v>0</v>
      </c>
      <c r="M269" s="7">
        <v>0</v>
      </c>
      <c r="N269" s="7">
        <v>0</v>
      </c>
      <c r="O269" s="7">
        <v>0</v>
      </c>
      <c r="P269" s="7">
        <v>0</v>
      </c>
      <c r="Q269" s="7">
        <v>0</v>
      </c>
      <c r="R269" s="7">
        <v>0</v>
      </c>
      <c r="S269" s="7">
        <v>0</v>
      </c>
      <c r="T269" s="7">
        <v>0</v>
      </c>
      <c r="U269" s="7">
        <v>0</v>
      </c>
      <c r="V269" s="7">
        <v>0</v>
      </c>
      <c r="W269" s="7">
        <v>0</v>
      </c>
      <c r="X269" s="7">
        <v>0</v>
      </c>
    </row>
    <row r="270" spans="1:24" ht="14.4" x14ac:dyDescent="0.3">
      <c r="A270" s="27"/>
      <c r="B270" s="6" t="s">
        <v>68</v>
      </c>
      <c r="C270" s="8">
        <v>0.01</v>
      </c>
      <c r="D270" s="8">
        <v>0.01</v>
      </c>
      <c r="E270" s="8">
        <v>0.01</v>
      </c>
      <c r="F270" s="8">
        <v>0.01</v>
      </c>
      <c r="G270" s="8">
        <v>0.01</v>
      </c>
      <c r="H270" s="8">
        <v>0.01</v>
      </c>
      <c r="I270" s="8">
        <v>0.01</v>
      </c>
      <c r="J270" s="8">
        <v>0.01</v>
      </c>
      <c r="K270" s="8">
        <v>0.02</v>
      </c>
      <c r="L270" s="8">
        <v>0.02</v>
      </c>
      <c r="M270" s="8">
        <v>0.02</v>
      </c>
      <c r="N270" s="8">
        <v>0.02</v>
      </c>
      <c r="O270" s="8">
        <v>0.02</v>
      </c>
      <c r="P270" s="8">
        <v>0.02</v>
      </c>
      <c r="Q270" s="8">
        <v>0.02</v>
      </c>
      <c r="R270" s="8">
        <v>0.01</v>
      </c>
      <c r="S270" s="8">
        <v>0.02</v>
      </c>
      <c r="T270" s="8">
        <v>0.01</v>
      </c>
      <c r="U270" s="8">
        <v>0.01</v>
      </c>
      <c r="V270" s="8">
        <v>0.01</v>
      </c>
      <c r="W270" s="8">
        <v>0.03</v>
      </c>
      <c r="X270" s="8">
        <v>0.03</v>
      </c>
    </row>
    <row r="271" spans="1:24" ht="14.4" x14ac:dyDescent="0.3">
      <c r="A271" s="27"/>
      <c r="B271" s="6" t="s">
        <v>69</v>
      </c>
      <c r="C271" s="7">
        <v>0.03</v>
      </c>
      <c r="D271" s="7">
        <v>0.02</v>
      </c>
      <c r="E271" s="7">
        <v>0.02</v>
      </c>
      <c r="F271" s="7">
        <v>0.02</v>
      </c>
      <c r="G271" s="7">
        <v>0.02</v>
      </c>
      <c r="H271" s="7">
        <v>0.02</v>
      </c>
      <c r="I271" s="7">
        <v>0.02</v>
      </c>
      <c r="J271" s="7">
        <v>0.02</v>
      </c>
      <c r="K271" s="7">
        <v>0.02</v>
      </c>
      <c r="L271" s="7">
        <v>0.02</v>
      </c>
      <c r="M271" s="7">
        <v>0.02</v>
      </c>
      <c r="N271" s="7">
        <v>0.02</v>
      </c>
      <c r="O271" s="7">
        <v>0.02</v>
      </c>
      <c r="P271" s="7">
        <v>0.02</v>
      </c>
      <c r="Q271" s="7">
        <v>0.02</v>
      </c>
      <c r="R271" s="7">
        <v>0.02</v>
      </c>
      <c r="S271" s="7">
        <v>0.02</v>
      </c>
      <c r="T271" s="7">
        <v>0.02</v>
      </c>
      <c r="U271" s="7">
        <v>0.02</v>
      </c>
      <c r="V271" s="7">
        <v>0.02</v>
      </c>
      <c r="W271" s="7">
        <v>0</v>
      </c>
      <c r="X271" s="7">
        <v>0</v>
      </c>
    </row>
    <row r="272" spans="1:24" ht="14.4" x14ac:dyDescent="0.3">
      <c r="A272" s="27"/>
      <c r="B272" s="6" t="s">
        <v>70</v>
      </c>
      <c r="C272" s="8">
        <v>0.01</v>
      </c>
      <c r="D272" s="8">
        <v>0.01</v>
      </c>
      <c r="E272" s="8">
        <v>0.01</v>
      </c>
      <c r="F272" s="8">
        <v>0.01</v>
      </c>
      <c r="G272" s="8">
        <v>0.01</v>
      </c>
      <c r="H272" s="8">
        <v>0.01</v>
      </c>
      <c r="I272" s="8">
        <v>0.01</v>
      </c>
      <c r="J272" s="8">
        <v>0.01</v>
      </c>
      <c r="K272" s="8">
        <v>0.02</v>
      </c>
      <c r="L272" s="8">
        <v>0.02</v>
      </c>
      <c r="M272" s="8">
        <v>0.02</v>
      </c>
      <c r="N272" s="8">
        <v>0.01</v>
      </c>
      <c r="O272" s="8">
        <v>0.01</v>
      </c>
      <c r="P272" s="8">
        <v>0.01</v>
      </c>
      <c r="Q272" s="8">
        <v>0.01</v>
      </c>
      <c r="R272" s="8">
        <v>0.01</v>
      </c>
      <c r="S272" s="8">
        <v>0.02</v>
      </c>
      <c r="T272" s="8">
        <v>0.01</v>
      </c>
      <c r="U272" s="8">
        <v>0.01</v>
      </c>
      <c r="V272" s="8">
        <v>0.01</v>
      </c>
      <c r="W272" s="8">
        <v>0.01</v>
      </c>
      <c r="X272" s="8">
        <v>0.01</v>
      </c>
    </row>
    <row r="273" spans="1:24" ht="14.4" x14ac:dyDescent="0.3">
      <c r="A273" s="28" t="s">
        <v>53</v>
      </c>
      <c r="B273" s="6" t="s">
        <v>6</v>
      </c>
      <c r="C273" s="7">
        <v>0.17</v>
      </c>
      <c r="D273" s="7">
        <v>0.17</v>
      </c>
      <c r="E273" s="7">
        <v>0.17</v>
      </c>
      <c r="F273" s="7">
        <v>0.17</v>
      </c>
      <c r="G273" s="7">
        <v>0.17</v>
      </c>
      <c r="H273" s="7">
        <v>0.17</v>
      </c>
      <c r="I273" s="7">
        <v>0.17</v>
      </c>
      <c r="J273" s="7">
        <v>0.18</v>
      </c>
      <c r="K273" s="7">
        <v>0.19</v>
      </c>
      <c r="L273" s="7">
        <v>0.19</v>
      </c>
      <c r="M273" s="7">
        <v>0.22</v>
      </c>
      <c r="N273" s="7">
        <v>0.21</v>
      </c>
      <c r="O273" s="7">
        <v>0.22</v>
      </c>
      <c r="P273" s="7">
        <v>0.21</v>
      </c>
      <c r="Q273" s="7">
        <v>0.22</v>
      </c>
      <c r="R273" s="7">
        <v>0.23</v>
      </c>
      <c r="S273" s="7">
        <v>0.24</v>
      </c>
      <c r="T273" s="7">
        <v>0.25</v>
      </c>
      <c r="U273" s="7">
        <v>0.25</v>
      </c>
      <c r="V273" s="7">
        <v>0.24</v>
      </c>
      <c r="W273" s="7">
        <v>0.24</v>
      </c>
      <c r="X273" s="7">
        <v>0.23</v>
      </c>
    </row>
    <row r="274" spans="1:24" ht="14.4" x14ac:dyDescent="0.3">
      <c r="A274" s="27"/>
      <c r="B274" s="6" t="s">
        <v>63</v>
      </c>
      <c r="C274" s="8">
        <v>0.17</v>
      </c>
      <c r="D274" s="8">
        <v>0.17</v>
      </c>
      <c r="E274" s="8">
        <v>0.17</v>
      </c>
      <c r="F274" s="8">
        <v>0.17</v>
      </c>
      <c r="G274" s="8">
        <v>0.18</v>
      </c>
      <c r="H274" s="8">
        <v>0.18</v>
      </c>
      <c r="I274" s="8">
        <v>0.2</v>
      </c>
      <c r="J274" s="8">
        <v>0.22</v>
      </c>
      <c r="K274" s="8">
        <v>0.24</v>
      </c>
      <c r="L274" s="8">
        <v>0.25</v>
      </c>
      <c r="M274" s="8">
        <v>0.28000000000000003</v>
      </c>
      <c r="N274" s="8">
        <v>0.28999999999999998</v>
      </c>
      <c r="O274" s="8">
        <v>0.3</v>
      </c>
      <c r="P274" s="8">
        <v>0.31</v>
      </c>
      <c r="Q274" s="8">
        <v>0.33</v>
      </c>
      <c r="R274" s="8">
        <v>0.35</v>
      </c>
      <c r="S274" s="8">
        <v>0.37</v>
      </c>
      <c r="T274" s="8">
        <v>0.39</v>
      </c>
      <c r="U274" s="8">
        <v>0.39</v>
      </c>
      <c r="V274" s="8">
        <v>0.4</v>
      </c>
      <c r="W274" s="8">
        <v>0.41</v>
      </c>
      <c r="X274" s="8">
        <v>0.41</v>
      </c>
    </row>
    <row r="275" spans="1:24" ht="14.4" x14ac:dyDescent="0.3">
      <c r="A275" s="27"/>
      <c r="B275" s="6" t="s">
        <v>64</v>
      </c>
      <c r="C275" s="7">
        <v>0.15</v>
      </c>
      <c r="D275" s="7">
        <v>0.14000000000000001</v>
      </c>
      <c r="E275" s="7">
        <v>0.15</v>
      </c>
      <c r="F275" s="7">
        <v>0.15</v>
      </c>
      <c r="G275" s="7">
        <v>0.15</v>
      </c>
      <c r="H275" s="7">
        <v>0.15</v>
      </c>
      <c r="I275" s="7">
        <v>0.15</v>
      </c>
      <c r="J275" s="7">
        <v>0.15</v>
      </c>
      <c r="K275" s="7">
        <v>0.15</v>
      </c>
      <c r="L275" s="7">
        <v>0.15</v>
      </c>
      <c r="M275" s="7">
        <v>0.15</v>
      </c>
      <c r="N275" s="7">
        <v>0.17</v>
      </c>
      <c r="O275" s="7">
        <v>0.17</v>
      </c>
      <c r="P275" s="7">
        <v>0.17</v>
      </c>
      <c r="Q275" s="7">
        <v>0.17</v>
      </c>
      <c r="R275" s="7">
        <v>0.18</v>
      </c>
      <c r="S275" s="7">
        <v>0.19</v>
      </c>
      <c r="T275" s="7">
        <v>0.2</v>
      </c>
      <c r="U275" s="7">
        <v>0.19</v>
      </c>
      <c r="V275" s="7">
        <v>0.18</v>
      </c>
      <c r="W275" s="7">
        <v>0.21</v>
      </c>
      <c r="X275" s="7">
        <v>0.19</v>
      </c>
    </row>
    <row r="276" spans="1:24" ht="14.4" x14ac:dyDescent="0.3">
      <c r="A276" s="27"/>
      <c r="B276" s="6" t="s">
        <v>65</v>
      </c>
      <c r="C276" s="8">
        <v>0.55000000000000004</v>
      </c>
      <c r="D276" s="8">
        <v>0.55000000000000004</v>
      </c>
      <c r="E276" s="8">
        <v>0.52</v>
      </c>
      <c r="F276" s="8">
        <v>0.53</v>
      </c>
      <c r="G276" s="8">
        <v>0.52</v>
      </c>
      <c r="H276" s="8">
        <v>0.53</v>
      </c>
      <c r="I276" s="8">
        <v>0.49</v>
      </c>
      <c r="J276" s="8">
        <v>0.51</v>
      </c>
      <c r="K276" s="8">
        <v>0.56000000000000005</v>
      </c>
      <c r="L276" s="8">
        <v>0.56000000000000005</v>
      </c>
      <c r="M276" s="8">
        <v>0.53</v>
      </c>
      <c r="N276" s="8">
        <v>0.53</v>
      </c>
      <c r="O276" s="8">
        <v>0.54</v>
      </c>
      <c r="P276" s="8">
        <v>0.48</v>
      </c>
      <c r="Q276" s="8">
        <v>0.56000000000000005</v>
      </c>
      <c r="R276" s="8">
        <v>0.55000000000000004</v>
      </c>
      <c r="S276" s="8">
        <v>0.56000000000000005</v>
      </c>
      <c r="T276" s="8">
        <v>0.56000000000000005</v>
      </c>
      <c r="U276" s="8">
        <v>0.56000000000000005</v>
      </c>
      <c r="V276" s="8">
        <v>0.56000000000000005</v>
      </c>
      <c r="W276" s="8">
        <v>0.54</v>
      </c>
      <c r="X276" s="8">
        <v>0.54</v>
      </c>
    </row>
    <row r="277" spans="1:24" ht="14.4" x14ac:dyDescent="0.3">
      <c r="A277" s="27"/>
      <c r="B277" s="6" t="s">
        <v>66</v>
      </c>
      <c r="C277" s="7">
        <v>0.28999999999999998</v>
      </c>
      <c r="D277" s="7">
        <v>0.28000000000000003</v>
      </c>
      <c r="E277" s="7">
        <v>0.28000000000000003</v>
      </c>
      <c r="F277" s="7">
        <v>0.28000000000000003</v>
      </c>
      <c r="G277" s="7">
        <v>0.28000000000000003</v>
      </c>
      <c r="H277" s="7">
        <v>0.28999999999999998</v>
      </c>
      <c r="I277" s="7">
        <v>0.28000000000000003</v>
      </c>
      <c r="J277" s="7">
        <v>0.3</v>
      </c>
      <c r="K277" s="7">
        <v>0.32</v>
      </c>
      <c r="L277" s="7">
        <v>0.33</v>
      </c>
      <c r="M277" s="7">
        <v>0.33</v>
      </c>
      <c r="N277" s="7">
        <v>0.34</v>
      </c>
      <c r="O277" s="7">
        <v>0.35</v>
      </c>
      <c r="P277" s="7">
        <v>0.34</v>
      </c>
      <c r="Q277" s="7">
        <v>0.37</v>
      </c>
      <c r="R277" s="7">
        <v>0.38</v>
      </c>
      <c r="S277" s="7">
        <v>0.39</v>
      </c>
      <c r="T277" s="7">
        <v>0.4</v>
      </c>
      <c r="U277" s="7">
        <v>0.4</v>
      </c>
      <c r="V277" s="7">
        <v>0.4</v>
      </c>
      <c r="W277" s="7">
        <v>0.41</v>
      </c>
      <c r="X277" s="7">
        <v>0.41</v>
      </c>
    </row>
    <row r="278" spans="1:24" ht="14.4" x14ac:dyDescent="0.3">
      <c r="A278" s="27"/>
      <c r="B278" s="6" t="s">
        <v>67</v>
      </c>
      <c r="C278" s="8">
        <v>0.02</v>
      </c>
      <c r="D278" s="8">
        <v>0.02</v>
      </c>
      <c r="E278" s="8">
        <v>0.02</v>
      </c>
      <c r="F278" s="8">
        <v>0.02</v>
      </c>
      <c r="G278" s="8">
        <v>0.02</v>
      </c>
      <c r="H278" s="8">
        <v>0.02</v>
      </c>
      <c r="I278" s="8">
        <v>0.02</v>
      </c>
      <c r="J278" s="8">
        <v>0.02</v>
      </c>
      <c r="K278" s="8">
        <v>0.02</v>
      </c>
      <c r="L278" s="8">
        <v>0.01</v>
      </c>
      <c r="M278" s="8">
        <v>0.01</v>
      </c>
      <c r="N278" s="8">
        <v>0.01</v>
      </c>
      <c r="O278" s="8">
        <v>0.01</v>
      </c>
      <c r="P278" s="8">
        <v>0.01</v>
      </c>
      <c r="Q278" s="8">
        <v>0.01</v>
      </c>
      <c r="R278" s="8">
        <v>0.01</v>
      </c>
      <c r="S278" s="8">
        <v>0.01</v>
      </c>
      <c r="T278" s="8">
        <v>0.02</v>
      </c>
      <c r="U278" s="8">
        <v>0.02</v>
      </c>
      <c r="V278" s="8">
        <v>0.02</v>
      </c>
      <c r="W278" s="8">
        <v>0.02</v>
      </c>
      <c r="X278" s="8">
        <v>0.02</v>
      </c>
    </row>
    <row r="279" spans="1:24" ht="14.4" x14ac:dyDescent="0.3">
      <c r="A279" s="27"/>
      <c r="B279" s="6" t="s">
        <v>68</v>
      </c>
      <c r="C279" s="7">
        <v>0.05</v>
      </c>
      <c r="D279" s="7">
        <v>0.05</v>
      </c>
      <c r="E279" s="7">
        <v>0.05</v>
      </c>
      <c r="F279" s="7">
        <v>0.05</v>
      </c>
      <c r="G279" s="7">
        <v>0.05</v>
      </c>
      <c r="H279" s="7">
        <v>0.04</v>
      </c>
      <c r="I279" s="7">
        <v>0.04</v>
      </c>
      <c r="J279" s="7">
        <v>0.04</v>
      </c>
      <c r="K279" s="7">
        <v>0.04</v>
      </c>
      <c r="L279" s="7">
        <v>0.04</v>
      </c>
      <c r="M279" s="7">
        <v>0.08</v>
      </c>
      <c r="N279" s="7">
        <v>7.0000000000000007E-2</v>
      </c>
      <c r="O279" s="7">
        <v>7.0000000000000007E-2</v>
      </c>
      <c r="P279" s="7">
        <v>7.0000000000000007E-2</v>
      </c>
      <c r="Q279" s="7">
        <v>0.06</v>
      </c>
      <c r="R279" s="7">
        <v>0.08</v>
      </c>
      <c r="S279" s="7">
        <v>0.08</v>
      </c>
      <c r="T279" s="7">
        <v>0.08</v>
      </c>
      <c r="U279" s="7">
        <v>0.08</v>
      </c>
      <c r="V279" s="7">
        <v>0.08</v>
      </c>
      <c r="W279" s="7">
        <v>0.08</v>
      </c>
      <c r="X279" s="7">
        <v>0.08</v>
      </c>
    </row>
    <row r="280" spans="1:24" ht="14.4" x14ac:dyDescent="0.3">
      <c r="A280" s="27"/>
      <c r="B280" s="6" t="s">
        <v>69</v>
      </c>
      <c r="C280" s="8">
        <v>0.09</v>
      </c>
      <c r="D280" s="8">
        <v>0.09</v>
      </c>
      <c r="E280" s="8">
        <v>0.09</v>
      </c>
      <c r="F280" s="8">
        <v>0.09</v>
      </c>
      <c r="G280" s="8">
        <v>0.09</v>
      </c>
      <c r="H280" s="8">
        <v>0.09</v>
      </c>
      <c r="I280" s="8">
        <v>0.09</v>
      </c>
      <c r="J280" s="8">
        <v>0.09</v>
      </c>
      <c r="K280" s="8">
        <v>0.09</v>
      </c>
      <c r="L280" s="8">
        <v>0.09</v>
      </c>
      <c r="M280" s="8">
        <v>0.21</v>
      </c>
      <c r="N280" s="8">
        <v>0.13</v>
      </c>
      <c r="O280" s="8">
        <v>0.13</v>
      </c>
      <c r="P280" s="8">
        <v>0.13</v>
      </c>
      <c r="Q280" s="8">
        <v>0.13</v>
      </c>
      <c r="R280" s="8">
        <v>0.13</v>
      </c>
      <c r="S280" s="8">
        <v>0.13</v>
      </c>
      <c r="T280" s="8">
        <v>0.13</v>
      </c>
      <c r="U280" s="8">
        <v>0.13</v>
      </c>
      <c r="V280" s="8">
        <v>7.0000000000000007E-2</v>
      </c>
      <c r="W280" s="8">
        <v>7.0000000000000007E-2</v>
      </c>
      <c r="X280" s="8">
        <v>7.0000000000000007E-2</v>
      </c>
    </row>
    <row r="281" spans="1:24" ht="14.4" x14ac:dyDescent="0.3">
      <c r="A281" s="27"/>
      <c r="B281" s="6" t="s">
        <v>70</v>
      </c>
      <c r="C281" s="7">
        <v>0.05</v>
      </c>
      <c r="D281" s="7">
        <v>0.05</v>
      </c>
      <c r="E281" s="7">
        <v>0.05</v>
      </c>
      <c r="F281" s="7">
        <v>0.05</v>
      </c>
      <c r="G281" s="7">
        <v>0.05</v>
      </c>
      <c r="H281" s="7">
        <v>0.05</v>
      </c>
      <c r="I281" s="7">
        <v>0.05</v>
      </c>
      <c r="J281" s="7">
        <v>0.05</v>
      </c>
      <c r="K281" s="7">
        <v>0.05</v>
      </c>
      <c r="L281" s="7">
        <v>0.05</v>
      </c>
      <c r="M281" s="7">
        <v>0.1</v>
      </c>
      <c r="N281" s="7">
        <v>7.0000000000000007E-2</v>
      </c>
      <c r="O281" s="7">
        <v>7.0000000000000007E-2</v>
      </c>
      <c r="P281" s="7">
        <v>7.0000000000000007E-2</v>
      </c>
      <c r="Q281" s="7">
        <v>7.0000000000000007E-2</v>
      </c>
      <c r="R281" s="7">
        <v>7.0000000000000007E-2</v>
      </c>
      <c r="S281" s="7">
        <v>7.0000000000000007E-2</v>
      </c>
      <c r="T281" s="7">
        <v>0.08</v>
      </c>
      <c r="U281" s="7">
        <v>0.08</v>
      </c>
      <c r="V281" s="7">
        <v>0.06</v>
      </c>
      <c r="W281" s="7">
        <v>0.06</v>
      </c>
      <c r="X281" s="7">
        <v>0.06</v>
      </c>
    </row>
    <row r="282" spans="1:24" ht="14.4" x14ac:dyDescent="0.3">
      <c r="A282" s="28" t="s">
        <v>77</v>
      </c>
      <c r="B282" s="6" t="s">
        <v>6</v>
      </c>
      <c r="C282" s="8">
        <v>0.17</v>
      </c>
      <c r="D282" s="8">
        <v>0.19</v>
      </c>
      <c r="E282" s="8">
        <v>0.19</v>
      </c>
      <c r="F282" s="8">
        <v>0.18</v>
      </c>
      <c r="G282" s="8">
        <v>0.19</v>
      </c>
      <c r="H282" s="8">
        <v>0.18</v>
      </c>
      <c r="I282" s="8">
        <v>0.2</v>
      </c>
      <c r="J282" s="8">
        <v>0.19</v>
      </c>
      <c r="K282" s="8">
        <v>0.19</v>
      </c>
      <c r="L282" s="8">
        <v>0.19</v>
      </c>
      <c r="M282" s="8">
        <v>0.19</v>
      </c>
      <c r="N282" s="8">
        <v>0.21</v>
      </c>
      <c r="O282" s="8">
        <v>0.22</v>
      </c>
      <c r="P282" s="8">
        <v>0.22</v>
      </c>
      <c r="Q282" s="8">
        <v>0.18</v>
      </c>
      <c r="R282" s="8">
        <v>0.19</v>
      </c>
      <c r="S282" s="8">
        <v>0.2</v>
      </c>
      <c r="T282" s="8">
        <v>0.24</v>
      </c>
      <c r="U282" s="8">
        <v>0.25</v>
      </c>
      <c r="V282" s="8">
        <v>0.26</v>
      </c>
      <c r="W282" s="8">
        <v>0.28000000000000003</v>
      </c>
      <c r="X282" s="8">
        <v>0.28999999999999998</v>
      </c>
    </row>
    <row r="283" spans="1:24" ht="14.4" x14ac:dyDescent="0.3">
      <c r="A283" s="27"/>
      <c r="B283" s="6" t="s">
        <v>63</v>
      </c>
      <c r="C283" s="7">
        <v>0.4</v>
      </c>
      <c r="D283" s="7">
        <v>0.46</v>
      </c>
      <c r="E283" s="7">
        <v>0.5</v>
      </c>
      <c r="F283" s="7">
        <v>0.48</v>
      </c>
      <c r="G283" s="7">
        <v>0.51</v>
      </c>
      <c r="H283" s="7">
        <v>0.52</v>
      </c>
      <c r="I283" s="7">
        <v>0.55000000000000004</v>
      </c>
      <c r="J283" s="7">
        <v>0.54</v>
      </c>
      <c r="K283" s="7">
        <v>0.53</v>
      </c>
      <c r="L283" s="7">
        <v>0.52</v>
      </c>
      <c r="M283" s="7">
        <v>0.51</v>
      </c>
      <c r="N283" s="7">
        <v>0.55000000000000004</v>
      </c>
      <c r="O283" s="7">
        <v>0.55000000000000004</v>
      </c>
      <c r="P283" s="7">
        <v>0.56000000000000005</v>
      </c>
      <c r="Q283" s="7">
        <v>0.41</v>
      </c>
      <c r="R283" s="7">
        <v>0.4</v>
      </c>
      <c r="S283" s="7">
        <v>0.42</v>
      </c>
      <c r="T283" s="7">
        <v>0.55000000000000004</v>
      </c>
      <c r="U283" s="7">
        <v>0.55000000000000004</v>
      </c>
      <c r="V283" s="7">
        <v>0.64</v>
      </c>
      <c r="W283" s="7">
        <v>0.71</v>
      </c>
      <c r="X283" s="7">
        <v>0.73</v>
      </c>
    </row>
    <row r="284" spans="1:24" ht="14.4" x14ac:dyDescent="0.3">
      <c r="A284" s="27"/>
      <c r="B284" s="6" t="s">
        <v>64</v>
      </c>
      <c r="C284" s="8">
        <v>0.02</v>
      </c>
      <c r="D284" s="8">
        <v>0.02</v>
      </c>
      <c r="E284" s="8">
        <v>0.02</v>
      </c>
      <c r="F284" s="8">
        <v>0.02</v>
      </c>
      <c r="G284" s="8">
        <v>0.02</v>
      </c>
      <c r="H284" s="8">
        <v>0.02</v>
      </c>
      <c r="I284" s="8">
        <v>0.02</v>
      </c>
      <c r="J284" s="8">
        <v>0.02</v>
      </c>
      <c r="K284" s="8">
        <v>0.02</v>
      </c>
      <c r="L284" s="8">
        <v>0.03</v>
      </c>
      <c r="M284" s="8">
        <v>0.03</v>
      </c>
      <c r="N284" s="8">
        <v>0.03</v>
      </c>
      <c r="O284" s="8">
        <v>0.03</v>
      </c>
      <c r="P284" s="8">
        <v>0.03</v>
      </c>
      <c r="Q284" s="8">
        <v>0.03</v>
      </c>
      <c r="R284" s="8">
        <v>0.03</v>
      </c>
      <c r="S284" s="8">
        <v>0.03</v>
      </c>
      <c r="T284" s="8">
        <v>0.04</v>
      </c>
      <c r="U284" s="8">
        <v>7.0000000000000007E-2</v>
      </c>
      <c r="V284" s="8">
        <v>7.0000000000000007E-2</v>
      </c>
      <c r="W284" s="8">
        <v>0.08</v>
      </c>
      <c r="X284" s="8">
        <v>0.08</v>
      </c>
    </row>
    <row r="285" spans="1:24" ht="14.4" x14ac:dyDescent="0.3">
      <c r="A285" s="27"/>
      <c r="B285" s="6" t="s">
        <v>65</v>
      </c>
      <c r="C285" s="7">
        <v>0.5</v>
      </c>
      <c r="D285" s="7">
        <v>0.54</v>
      </c>
      <c r="E285" s="7">
        <v>0.47</v>
      </c>
      <c r="F285" s="7">
        <v>0.46</v>
      </c>
      <c r="G285" s="7">
        <v>0.46</v>
      </c>
      <c r="H285" s="7">
        <v>0.4</v>
      </c>
      <c r="I285" s="7">
        <v>0.49</v>
      </c>
      <c r="J285" s="7">
        <v>0.48</v>
      </c>
      <c r="K285" s="7">
        <v>0.49</v>
      </c>
      <c r="L285" s="7">
        <v>0.49</v>
      </c>
      <c r="M285" s="7">
        <v>0.51</v>
      </c>
      <c r="N285" s="7">
        <v>0.56999999999999995</v>
      </c>
      <c r="O285" s="7">
        <v>0.59</v>
      </c>
      <c r="P285" s="7">
        <v>0.48</v>
      </c>
      <c r="Q285" s="7">
        <v>0.49</v>
      </c>
      <c r="R285" s="7">
        <v>0.54</v>
      </c>
      <c r="S285" s="7">
        <v>0.55000000000000004</v>
      </c>
      <c r="T285" s="7">
        <v>0.61</v>
      </c>
      <c r="U285" s="7">
        <v>0.62</v>
      </c>
      <c r="V285" s="7">
        <v>0.57999999999999996</v>
      </c>
      <c r="W285" s="7">
        <v>0.59</v>
      </c>
      <c r="X285" s="7">
        <v>0.6</v>
      </c>
    </row>
    <row r="286" spans="1:24" ht="14.4" x14ac:dyDescent="0.3">
      <c r="A286" s="27"/>
      <c r="B286" s="6" t="s">
        <v>66</v>
      </c>
      <c r="C286" s="8">
        <v>0.32</v>
      </c>
      <c r="D286" s="8">
        <v>0.35</v>
      </c>
      <c r="E286" s="8">
        <v>0.35</v>
      </c>
      <c r="F286" s="8">
        <v>0.34</v>
      </c>
      <c r="G286" s="8">
        <v>0.35</v>
      </c>
      <c r="H286" s="8">
        <v>0.34</v>
      </c>
      <c r="I286" s="8">
        <v>0.38</v>
      </c>
      <c r="J286" s="8">
        <v>0.37</v>
      </c>
      <c r="K286" s="8">
        <v>0.37</v>
      </c>
      <c r="L286" s="8">
        <v>0.37</v>
      </c>
      <c r="M286" s="8">
        <v>0.37</v>
      </c>
      <c r="N286" s="8">
        <v>0.4</v>
      </c>
      <c r="O286" s="8">
        <v>0.41</v>
      </c>
      <c r="P286" s="8">
        <v>0.38</v>
      </c>
      <c r="Q286" s="8">
        <v>0.32</v>
      </c>
      <c r="R286" s="8">
        <v>0.33</v>
      </c>
      <c r="S286" s="8">
        <v>0.35</v>
      </c>
      <c r="T286" s="8">
        <v>0.42</v>
      </c>
      <c r="U286" s="8">
        <v>0.43</v>
      </c>
      <c r="V286" s="8">
        <v>0.46</v>
      </c>
      <c r="W286" s="8">
        <v>0.5</v>
      </c>
      <c r="X286" s="8">
        <v>0.51</v>
      </c>
    </row>
    <row r="287" spans="1:24" ht="14.4" x14ac:dyDescent="0.3">
      <c r="A287" s="27"/>
      <c r="B287" s="6" t="s">
        <v>67</v>
      </c>
      <c r="C287" s="7">
        <v>0.03</v>
      </c>
      <c r="D287" s="7">
        <v>0.04</v>
      </c>
      <c r="E287" s="7">
        <v>0.04</v>
      </c>
      <c r="F287" s="7">
        <v>0.04</v>
      </c>
      <c r="G287" s="7">
        <v>0.04</v>
      </c>
      <c r="H287" s="7">
        <v>0.03</v>
      </c>
      <c r="I287" s="7">
        <v>0.03</v>
      </c>
      <c r="J287" s="7">
        <v>0.03</v>
      </c>
      <c r="K287" s="7">
        <v>0.03</v>
      </c>
      <c r="L287" s="7">
        <v>0.03</v>
      </c>
      <c r="M287" s="7">
        <v>0.03</v>
      </c>
      <c r="N287" s="7">
        <v>0.03</v>
      </c>
      <c r="O287" s="7">
        <v>0.03</v>
      </c>
      <c r="P287" s="7">
        <v>0.03</v>
      </c>
      <c r="Q287" s="7">
        <v>0.03</v>
      </c>
      <c r="R287" s="7">
        <v>0.03</v>
      </c>
      <c r="S287" s="7">
        <v>0.03</v>
      </c>
      <c r="T287" s="7">
        <v>0</v>
      </c>
      <c r="U287" s="7">
        <v>0</v>
      </c>
      <c r="V287" s="7">
        <v>0.01</v>
      </c>
      <c r="W287" s="7">
        <v>0.01</v>
      </c>
      <c r="X287" s="7">
        <v>0.01</v>
      </c>
    </row>
    <row r="288" spans="1:24" ht="14.4" x14ac:dyDescent="0.3">
      <c r="A288" s="27"/>
      <c r="B288" s="6" t="s">
        <v>68</v>
      </c>
      <c r="C288" s="8">
        <v>0.02</v>
      </c>
      <c r="D288" s="8">
        <v>0.02</v>
      </c>
      <c r="E288" s="8">
        <v>0.02</v>
      </c>
      <c r="F288" s="8">
        <v>0.02</v>
      </c>
      <c r="G288" s="8">
        <v>0.02</v>
      </c>
      <c r="H288" s="8">
        <v>0.02</v>
      </c>
      <c r="I288" s="8">
        <v>0.01</v>
      </c>
      <c r="J288" s="8">
        <v>0.01</v>
      </c>
      <c r="K288" s="8">
        <v>0.01</v>
      </c>
      <c r="L288" s="8">
        <v>0.01</v>
      </c>
      <c r="M288" s="8">
        <v>0.01</v>
      </c>
      <c r="N288" s="8">
        <v>0.01</v>
      </c>
      <c r="O288" s="8">
        <v>0.03</v>
      </c>
      <c r="P288" s="8">
        <v>0.09</v>
      </c>
      <c r="Q288" s="8">
        <v>0.08</v>
      </c>
      <c r="R288" s="8">
        <v>0.08</v>
      </c>
      <c r="S288" s="8">
        <v>0.08</v>
      </c>
      <c r="T288" s="8">
        <v>0.11</v>
      </c>
      <c r="U288" s="8">
        <v>0.13</v>
      </c>
      <c r="V288" s="8">
        <v>0.13</v>
      </c>
      <c r="W288" s="8">
        <v>0.14000000000000001</v>
      </c>
      <c r="X288" s="8">
        <v>0.13</v>
      </c>
    </row>
    <row r="289" spans="1:24" ht="14.4" x14ac:dyDescent="0.3">
      <c r="A289" s="27"/>
      <c r="B289" s="6" t="s">
        <v>69</v>
      </c>
      <c r="C289" s="7">
        <v>0</v>
      </c>
      <c r="D289" s="7">
        <v>0</v>
      </c>
      <c r="E289" s="7">
        <v>0</v>
      </c>
      <c r="F289" s="7">
        <v>0</v>
      </c>
      <c r="G289" s="7">
        <v>0</v>
      </c>
      <c r="H289" s="7">
        <v>0</v>
      </c>
      <c r="I289" s="7">
        <v>0</v>
      </c>
      <c r="J289" s="7">
        <v>0</v>
      </c>
      <c r="K289" s="7">
        <v>0</v>
      </c>
      <c r="L289" s="7">
        <v>0</v>
      </c>
      <c r="M289" s="7">
        <v>0</v>
      </c>
      <c r="N289" s="7">
        <v>0</v>
      </c>
      <c r="O289" s="7">
        <v>0</v>
      </c>
      <c r="P289" s="7">
        <v>0</v>
      </c>
      <c r="Q289" s="7">
        <v>0</v>
      </c>
      <c r="R289" s="7">
        <v>0</v>
      </c>
      <c r="S289" s="7">
        <v>0</v>
      </c>
      <c r="T289" s="7">
        <v>0</v>
      </c>
      <c r="U289" s="7">
        <v>0</v>
      </c>
      <c r="V289" s="7">
        <v>0</v>
      </c>
      <c r="W289" s="7">
        <v>0</v>
      </c>
      <c r="X289" s="7">
        <v>0</v>
      </c>
    </row>
    <row r="290" spans="1:24" ht="14.4" x14ac:dyDescent="0.3">
      <c r="A290" s="27"/>
      <c r="B290" s="6" t="s">
        <v>70</v>
      </c>
      <c r="C290" s="8">
        <v>0.02</v>
      </c>
      <c r="D290" s="8">
        <v>0.02</v>
      </c>
      <c r="E290" s="8">
        <v>0.02</v>
      </c>
      <c r="F290" s="8">
        <v>0.02</v>
      </c>
      <c r="G290" s="8">
        <v>0.02</v>
      </c>
      <c r="H290" s="8">
        <v>0.02</v>
      </c>
      <c r="I290" s="8">
        <v>0.01</v>
      </c>
      <c r="J290" s="8">
        <v>0.01</v>
      </c>
      <c r="K290" s="8">
        <v>0.01</v>
      </c>
      <c r="L290" s="8">
        <v>0.01</v>
      </c>
      <c r="M290" s="8">
        <v>0.01</v>
      </c>
      <c r="N290" s="8">
        <v>0.01</v>
      </c>
      <c r="O290" s="8">
        <v>0.02</v>
      </c>
      <c r="P290" s="8">
        <v>0.04</v>
      </c>
      <c r="Q290" s="8">
        <v>0.04</v>
      </c>
      <c r="R290" s="8">
        <v>0.04</v>
      </c>
      <c r="S290" s="8">
        <v>0.04</v>
      </c>
      <c r="T290" s="8">
        <v>0.04</v>
      </c>
      <c r="U290" s="8">
        <v>0.05</v>
      </c>
      <c r="V290" s="8">
        <v>0.05</v>
      </c>
      <c r="W290" s="8">
        <v>0.06</v>
      </c>
      <c r="X290" s="8">
        <v>0.05</v>
      </c>
    </row>
    <row r="291" spans="1:24" ht="14.4" x14ac:dyDescent="0.3">
      <c r="A291" s="28" t="s">
        <v>55</v>
      </c>
      <c r="B291" s="6" t="s">
        <v>6</v>
      </c>
      <c r="C291" s="7">
        <v>0.31</v>
      </c>
      <c r="D291" s="7">
        <v>0.3</v>
      </c>
      <c r="E291" s="7">
        <v>0.35</v>
      </c>
      <c r="F291" s="7">
        <v>0.34</v>
      </c>
      <c r="G291" s="7">
        <v>0.31</v>
      </c>
      <c r="H291" s="7">
        <v>0.38</v>
      </c>
      <c r="I291" s="7">
        <v>0.39</v>
      </c>
      <c r="J291" s="7">
        <v>0.41</v>
      </c>
      <c r="K291" s="7">
        <v>0.41</v>
      </c>
      <c r="L291" s="7">
        <v>0.46</v>
      </c>
      <c r="M291" s="7">
        <v>0.44</v>
      </c>
      <c r="N291" s="7">
        <v>0.35</v>
      </c>
      <c r="O291" s="7">
        <v>0.34</v>
      </c>
      <c r="P291" s="7">
        <v>0.32</v>
      </c>
      <c r="Q291" s="7">
        <v>0.39</v>
      </c>
      <c r="R291" s="7">
        <v>0.36</v>
      </c>
      <c r="S291" s="7">
        <v>0.36</v>
      </c>
      <c r="T291" s="7">
        <v>0.37</v>
      </c>
      <c r="U291" s="7">
        <v>0.38</v>
      </c>
      <c r="V291" s="7">
        <v>0.35</v>
      </c>
      <c r="W291" s="7">
        <v>0.38</v>
      </c>
      <c r="X291" s="7">
        <v>0.38</v>
      </c>
    </row>
    <row r="292" spans="1:24" ht="14.4" x14ac:dyDescent="0.3">
      <c r="A292" s="27"/>
      <c r="B292" s="6" t="s">
        <v>63</v>
      </c>
      <c r="C292" s="8">
        <v>0.01</v>
      </c>
      <c r="D292" s="8">
        <v>0.01</v>
      </c>
      <c r="E292" s="8">
        <v>0.01</v>
      </c>
      <c r="F292" s="8">
        <v>0.01</v>
      </c>
      <c r="G292" s="8">
        <v>0.01</v>
      </c>
      <c r="H292" s="8">
        <v>0.01</v>
      </c>
      <c r="I292" s="8">
        <v>0.02</v>
      </c>
      <c r="J292" s="8">
        <v>0.03</v>
      </c>
      <c r="K292" s="8">
        <v>0.09</v>
      </c>
      <c r="L292" s="8">
        <v>0.1</v>
      </c>
      <c r="M292" s="8">
        <v>0.11</v>
      </c>
      <c r="N292" s="8">
        <v>0.13</v>
      </c>
      <c r="O292" s="8">
        <v>0.13</v>
      </c>
      <c r="P292" s="8">
        <v>0.14000000000000001</v>
      </c>
      <c r="Q292" s="8">
        <v>0.14000000000000001</v>
      </c>
      <c r="R292" s="8">
        <v>0.15</v>
      </c>
      <c r="S292" s="8">
        <v>0.15</v>
      </c>
      <c r="T292" s="8">
        <v>0.15</v>
      </c>
      <c r="U292" s="8">
        <v>0.16</v>
      </c>
      <c r="V292" s="8">
        <v>0.16</v>
      </c>
      <c r="W292" s="8">
        <v>0.16</v>
      </c>
      <c r="X292" s="8">
        <v>0.15</v>
      </c>
    </row>
    <row r="293" spans="1:24" ht="14.4" x14ac:dyDescent="0.3">
      <c r="A293" s="27"/>
      <c r="B293" s="6" t="s">
        <v>64</v>
      </c>
      <c r="C293" s="7">
        <v>0.1</v>
      </c>
      <c r="D293" s="7">
        <v>0.11</v>
      </c>
      <c r="E293" s="7">
        <v>0.13</v>
      </c>
      <c r="F293" s="7">
        <v>0.15</v>
      </c>
      <c r="G293" s="7">
        <v>0.16</v>
      </c>
      <c r="H293" s="7">
        <v>0.17</v>
      </c>
      <c r="I293" s="7">
        <v>0.18</v>
      </c>
      <c r="J293" s="7">
        <v>0.22</v>
      </c>
      <c r="K293" s="7">
        <v>0.21</v>
      </c>
      <c r="L293" s="7">
        <v>0.25</v>
      </c>
      <c r="M293" s="7">
        <v>0.23</v>
      </c>
      <c r="N293" s="7">
        <v>0.2</v>
      </c>
      <c r="O293" s="7">
        <v>0.19</v>
      </c>
      <c r="P293" s="7">
        <v>0.2</v>
      </c>
      <c r="Q293" s="7">
        <v>0.2</v>
      </c>
      <c r="R293" s="7">
        <v>0.23</v>
      </c>
      <c r="S293" s="7">
        <v>0.26</v>
      </c>
      <c r="T293" s="7">
        <v>0.28000000000000003</v>
      </c>
      <c r="U293" s="7">
        <v>0.28000000000000003</v>
      </c>
      <c r="V293" s="7">
        <v>0.3</v>
      </c>
      <c r="W293" s="7">
        <v>0.33</v>
      </c>
      <c r="X293" s="7">
        <v>0.34</v>
      </c>
    </row>
    <row r="294" spans="1:24" ht="14.4" x14ac:dyDescent="0.3">
      <c r="A294" s="27"/>
      <c r="B294" s="6" t="s">
        <v>65</v>
      </c>
      <c r="C294" s="8">
        <v>0.66</v>
      </c>
      <c r="D294" s="8">
        <v>0.68</v>
      </c>
      <c r="E294" s="8">
        <v>0.69</v>
      </c>
      <c r="F294" s="8">
        <v>0.69</v>
      </c>
      <c r="G294" s="8">
        <v>0.66</v>
      </c>
      <c r="H294" s="8">
        <v>0.67</v>
      </c>
      <c r="I294" s="8">
        <v>0.72</v>
      </c>
      <c r="J294" s="8">
        <v>0.72</v>
      </c>
      <c r="K294" s="8">
        <v>0.69</v>
      </c>
      <c r="L294" s="8">
        <v>0.69</v>
      </c>
      <c r="M294" s="8">
        <v>0.71</v>
      </c>
      <c r="N294" s="8">
        <v>0.7</v>
      </c>
      <c r="O294" s="8">
        <v>0.69</v>
      </c>
      <c r="P294" s="8">
        <v>0.67</v>
      </c>
      <c r="Q294" s="8">
        <v>0.68</v>
      </c>
      <c r="R294" s="8">
        <v>0.69</v>
      </c>
      <c r="S294" s="8">
        <v>0.7</v>
      </c>
      <c r="T294" s="8">
        <v>0.71</v>
      </c>
      <c r="U294" s="8">
        <v>0.71</v>
      </c>
      <c r="V294" s="8">
        <v>0.72</v>
      </c>
      <c r="W294" s="8">
        <v>0.71</v>
      </c>
      <c r="X294" s="8">
        <v>0.73</v>
      </c>
    </row>
    <row r="295" spans="1:24" ht="14.4" x14ac:dyDescent="0.3">
      <c r="A295" s="27"/>
      <c r="B295" s="6" t="s">
        <v>66</v>
      </c>
      <c r="C295" s="7">
        <v>0.22</v>
      </c>
      <c r="D295" s="7">
        <v>0.23</v>
      </c>
      <c r="E295" s="7">
        <v>0.25</v>
      </c>
      <c r="F295" s="7">
        <v>0.26</v>
      </c>
      <c r="G295" s="7">
        <v>0.25</v>
      </c>
      <c r="H295" s="7">
        <v>0.26</v>
      </c>
      <c r="I295" s="7">
        <v>0.28000000000000003</v>
      </c>
      <c r="J295" s="7">
        <v>0.31</v>
      </c>
      <c r="K295" s="7">
        <v>0.32</v>
      </c>
      <c r="L295" s="7">
        <v>0.34</v>
      </c>
      <c r="M295" s="7">
        <v>0.34</v>
      </c>
      <c r="N295" s="7">
        <v>0.33</v>
      </c>
      <c r="O295" s="7">
        <v>0.32</v>
      </c>
      <c r="P295" s="7">
        <v>0.33</v>
      </c>
      <c r="Q295" s="7">
        <v>0.34</v>
      </c>
      <c r="R295" s="7">
        <v>0.35</v>
      </c>
      <c r="S295" s="7">
        <v>0.37</v>
      </c>
      <c r="T295" s="7">
        <v>0.37</v>
      </c>
      <c r="U295" s="7">
        <v>0.38</v>
      </c>
      <c r="V295" s="7">
        <v>0.39</v>
      </c>
      <c r="W295" s="7">
        <v>0.4</v>
      </c>
      <c r="X295" s="7">
        <v>0.41</v>
      </c>
    </row>
    <row r="296" spans="1:24" ht="14.4" x14ac:dyDescent="0.3">
      <c r="A296" s="27"/>
      <c r="B296" s="6" t="s">
        <v>67</v>
      </c>
      <c r="C296" s="8">
        <v>0.32</v>
      </c>
      <c r="D296" s="8">
        <v>0.28999999999999998</v>
      </c>
      <c r="E296" s="8">
        <v>0.36</v>
      </c>
      <c r="F296" s="8">
        <v>0.34</v>
      </c>
      <c r="G296" s="8">
        <v>0.28999999999999998</v>
      </c>
      <c r="H296" s="8">
        <v>0.41</v>
      </c>
      <c r="I296" s="8">
        <v>0.43</v>
      </c>
      <c r="J296" s="8">
        <v>0.42</v>
      </c>
      <c r="K296" s="8">
        <v>0.4</v>
      </c>
      <c r="L296" s="8">
        <v>0.44</v>
      </c>
      <c r="M296" s="8">
        <v>0.41</v>
      </c>
      <c r="N296" s="8">
        <v>0.39</v>
      </c>
      <c r="O296" s="8">
        <v>0.38</v>
      </c>
      <c r="P296" s="8">
        <v>0.36</v>
      </c>
      <c r="Q296" s="8">
        <v>0.45</v>
      </c>
      <c r="R296" s="8">
        <v>0.42</v>
      </c>
      <c r="S296" s="8">
        <v>0.4</v>
      </c>
      <c r="T296" s="8">
        <v>0.41</v>
      </c>
      <c r="U296" s="8">
        <v>0.39</v>
      </c>
      <c r="V296" s="8">
        <v>0.39</v>
      </c>
      <c r="W296" s="8">
        <v>0.4</v>
      </c>
      <c r="X296" s="8">
        <v>0.4</v>
      </c>
    </row>
    <row r="297" spans="1:24" ht="14.4" x14ac:dyDescent="0.3">
      <c r="A297" s="27"/>
      <c r="B297" s="6" t="s">
        <v>68</v>
      </c>
      <c r="C297" s="7">
        <v>7.0000000000000007E-2</v>
      </c>
      <c r="D297" s="7">
        <v>0.06</v>
      </c>
      <c r="E297" s="7">
        <v>0.08</v>
      </c>
      <c r="F297" s="7">
        <v>0.08</v>
      </c>
      <c r="G297" s="7">
        <v>0.06</v>
      </c>
      <c r="H297" s="7">
        <v>0.09</v>
      </c>
      <c r="I297" s="7">
        <v>0.1</v>
      </c>
      <c r="J297" s="7">
        <v>0.11</v>
      </c>
      <c r="K297" s="7">
        <v>0.12</v>
      </c>
      <c r="L297" s="7">
        <v>0.26</v>
      </c>
      <c r="M297" s="7">
        <v>0.21</v>
      </c>
      <c r="N297" s="7">
        <v>0.13</v>
      </c>
      <c r="O297" s="7">
        <v>0.13</v>
      </c>
      <c r="P297" s="7">
        <v>0.15</v>
      </c>
      <c r="Q297" s="7">
        <v>0.18</v>
      </c>
      <c r="R297" s="7">
        <v>0.18</v>
      </c>
      <c r="S297" s="7">
        <v>0.18</v>
      </c>
      <c r="T297" s="7">
        <v>0.23</v>
      </c>
      <c r="U297" s="7">
        <v>0.23</v>
      </c>
      <c r="V297" s="7">
        <v>0.2</v>
      </c>
      <c r="W297" s="7">
        <v>0.25</v>
      </c>
      <c r="X297" s="7">
        <v>0.24</v>
      </c>
    </row>
    <row r="298" spans="1:24" ht="14.4" x14ac:dyDescent="0.3">
      <c r="A298" s="27"/>
      <c r="B298" s="6" t="s">
        <v>69</v>
      </c>
      <c r="C298" s="8">
        <v>0.82</v>
      </c>
      <c r="D298" s="8">
        <v>0.73</v>
      </c>
      <c r="E298" s="8">
        <v>0.93</v>
      </c>
      <c r="F298" s="8">
        <v>0.88</v>
      </c>
      <c r="G298" s="8">
        <v>0.74</v>
      </c>
      <c r="H298" s="8">
        <v>1</v>
      </c>
      <c r="I298" s="8">
        <v>1</v>
      </c>
      <c r="J298" s="8">
        <v>1</v>
      </c>
      <c r="K298" s="8">
        <v>1</v>
      </c>
      <c r="L298" s="8">
        <v>1</v>
      </c>
      <c r="M298" s="8">
        <v>1</v>
      </c>
      <c r="N298" s="8">
        <v>0.55000000000000004</v>
      </c>
      <c r="O298" s="8">
        <v>0.55000000000000004</v>
      </c>
      <c r="P298" s="8">
        <v>0.38</v>
      </c>
      <c r="Q298" s="8">
        <v>0.7</v>
      </c>
      <c r="R298" s="8">
        <v>0.5</v>
      </c>
      <c r="S298" s="8">
        <v>0.46</v>
      </c>
      <c r="T298" s="8">
        <v>0.43</v>
      </c>
      <c r="U298" s="8">
        <v>0.49</v>
      </c>
      <c r="V298" s="8">
        <v>0.28000000000000003</v>
      </c>
      <c r="W298" s="8">
        <v>0.38</v>
      </c>
      <c r="X298" s="8">
        <v>0.38</v>
      </c>
    </row>
    <row r="299" spans="1:24" ht="14.4" x14ac:dyDescent="0.3">
      <c r="A299" s="27"/>
      <c r="B299" s="6" t="s">
        <v>70</v>
      </c>
      <c r="C299" s="7">
        <v>0.39</v>
      </c>
      <c r="D299" s="7">
        <v>0.35</v>
      </c>
      <c r="E299" s="7">
        <v>0.44</v>
      </c>
      <c r="F299" s="7">
        <v>0.42</v>
      </c>
      <c r="G299" s="7">
        <v>0.35</v>
      </c>
      <c r="H299" s="7">
        <v>0.48</v>
      </c>
      <c r="I299" s="7">
        <v>0.49</v>
      </c>
      <c r="J299" s="7">
        <v>0.49</v>
      </c>
      <c r="K299" s="7">
        <v>0.49</v>
      </c>
      <c r="L299" s="7">
        <v>0.56000000000000005</v>
      </c>
      <c r="M299" s="7">
        <v>0.53</v>
      </c>
      <c r="N299" s="7">
        <v>0.34</v>
      </c>
      <c r="O299" s="7">
        <v>0.35</v>
      </c>
      <c r="P299" s="7">
        <v>0.28999999999999998</v>
      </c>
      <c r="Q299" s="7">
        <v>0.44</v>
      </c>
      <c r="R299" s="7">
        <v>0.36</v>
      </c>
      <c r="S299" s="7">
        <v>0.34</v>
      </c>
      <c r="T299" s="7">
        <v>0.35</v>
      </c>
      <c r="U299" s="7">
        <v>0.37</v>
      </c>
      <c r="V299" s="7">
        <v>0.28999999999999998</v>
      </c>
      <c r="W299" s="7">
        <v>0.34</v>
      </c>
      <c r="X299" s="7">
        <v>0.34</v>
      </c>
    </row>
    <row r="300" spans="1:24" ht="14.4" x14ac:dyDescent="0.3">
      <c r="A300" s="28" t="s">
        <v>57</v>
      </c>
      <c r="B300" s="6" t="s">
        <v>6</v>
      </c>
      <c r="C300" s="8">
        <v>0.14000000000000001</v>
      </c>
      <c r="D300" s="8">
        <v>0.14000000000000001</v>
      </c>
      <c r="E300" s="8">
        <v>0.17</v>
      </c>
      <c r="F300" s="8">
        <v>0.14000000000000001</v>
      </c>
      <c r="G300" s="8">
        <v>0.16</v>
      </c>
      <c r="H300" s="8">
        <v>0.15</v>
      </c>
      <c r="I300" s="8">
        <v>0.17</v>
      </c>
      <c r="J300" s="8">
        <v>0.18</v>
      </c>
      <c r="K300" s="8">
        <v>0.18</v>
      </c>
      <c r="L300" s="8">
        <v>0.16</v>
      </c>
      <c r="M300" s="8">
        <v>0.17</v>
      </c>
      <c r="N300" s="8">
        <v>0.19</v>
      </c>
      <c r="O300" s="8">
        <v>0.19</v>
      </c>
      <c r="P300" s="8">
        <v>0.19</v>
      </c>
      <c r="Q300" s="8">
        <v>0.18</v>
      </c>
      <c r="R300" s="8">
        <v>0.19</v>
      </c>
      <c r="S300" s="8">
        <v>0.19</v>
      </c>
      <c r="T300" s="8">
        <v>0.19</v>
      </c>
      <c r="U300" s="8">
        <v>0.19</v>
      </c>
      <c r="V300" s="8">
        <v>0.19</v>
      </c>
      <c r="W300" s="8">
        <v>0.2</v>
      </c>
      <c r="X300" s="8">
        <v>0.2</v>
      </c>
    </row>
    <row r="301" spans="1:24" ht="14.4" x14ac:dyDescent="0.3">
      <c r="A301" s="27"/>
      <c r="B301" s="6" t="s">
        <v>63</v>
      </c>
      <c r="C301" s="7">
        <v>0.04</v>
      </c>
      <c r="D301" s="7">
        <v>0.04</v>
      </c>
      <c r="E301" s="7">
        <v>0.03</v>
      </c>
      <c r="F301" s="7">
        <v>0.04</v>
      </c>
      <c r="G301" s="7">
        <v>0.04</v>
      </c>
      <c r="H301" s="7">
        <v>0.04</v>
      </c>
      <c r="I301" s="7">
        <v>0.04</v>
      </c>
      <c r="J301" s="7">
        <v>0.05</v>
      </c>
      <c r="K301" s="7">
        <v>0.06</v>
      </c>
      <c r="L301" s="7">
        <v>7.0000000000000007E-2</v>
      </c>
      <c r="M301" s="7">
        <v>0.08</v>
      </c>
      <c r="N301" s="7">
        <v>0.08</v>
      </c>
      <c r="O301" s="7">
        <v>0.09</v>
      </c>
      <c r="P301" s="7">
        <v>0.1</v>
      </c>
      <c r="Q301" s="7">
        <v>0.1</v>
      </c>
      <c r="R301" s="7">
        <v>0.11</v>
      </c>
      <c r="S301" s="7">
        <v>0.11</v>
      </c>
      <c r="T301" s="7">
        <v>0.11</v>
      </c>
      <c r="U301" s="7">
        <v>0.1</v>
      </c>
      <c r="V301" s="7">
        <v>0.08</v>
      </c>
      <c r="W301" s="7">
        <v>0.08</v>
      </c>
      <c r="X301" s="7">
        <v>7.0000000000000007E-2</v>
      </c>
    </row>
    <row r="302" spans="1:24" ht="14.4" x14ac:dyDescent="0.3">
      <c r="A302" s="27"/>
      <c r="B302" s="6" t="s">
        <v>64</v>
      </c>
      <c r="C302" s="8">
        <v>0.06</v>
      </c>
      <c r="D302" s="8">
        <v>0.05</v>
      </c>
      <c r="E302" s="8">
        <v>0.05</v>
      </c>
      <c r="F302" s="8">
        <v>0.05</v>
      </c>
      <c r="G302" s="8">
        <v>0.05</v>
      </c>
      <c r="H302" s="8">
        <v>0.05</v>
      </c>
      <c r="I302" s="8">
        <v>0.05</v>
      </c>
      <c r="J302" s="8">
        <v>0.06</v>
      </c>
      <c r="K302" s="8">
        <v>7.0000000000000007E-2</v>
      </c>
      <c r="L302" s="8">
        <v>0.06</v>
      </c>
      <c r="M302" s="8">
        <v>0.06</v>
      </c>
      <c r="N302" s="8">
        <v>0.05</v>
      </c>
      <c r="O302" s="8">
        <v>0.06</v>
      </c>
      <c r="P302" s="8">
        <v>0.06</v>
      </c>
      <c r="Q302" s="8">
        <v>0.06</v>
      </c>
      <c r="R302" s="8">
        <v>7.0000000000000007E-2</v>
      </c>
      <c r="S302" s="8">
        <v>0.06</v>
      </c>
      <c r="T302" s="8">
        <v>0.06</v>
      </c>
      <c r="U302" s="8">
        <v>7.0000000000000007E-2</v>
      </c>
      <c r="V302" s="8">
        <v>7.0000000000000007E-2</v>
      </c>
      <c r="W302" s="8">
        <v>7.0000000000000007E-2</v>
      </c>
      <c r="X302" s="8">
        <v>0.06</v>
      </c>
    </row>
    <row r="303" spans="1:24" ht="14.4" x14ac:dyDescent="0.3">
      <c r="A303" s="27"/>
      <c r="B303" s="6" t="s">
        <v>65</v>
      </c>
      <c r="C303" s="7">
        <v>0.18</v>
      </c>
      <c r="D303" s="7">
        <v>0.18</v>
      </c>
      <c r="E303" s="7">
        <v>0.45</v>
      </c>
      <c r="F303" s="7">
        <v>0.24</v>
      </c>
      <c r="G303" s="7">
        <v>0.3</v>
      </c>
      <c r="H303" s="7">
        <v>0.28000000000000003</v>
      </c>
      <c r="I303" s="7">
        <v>0.37</v>
      </c>
      <c r="J303" s="7">
        <v>0.42</v>
      </c>
      <c r="K303" s="7">
        <v>0.38</v>
      </c>
      <c r="L303" s="7">
        <v>0.28999999999999998</v>
      </c>
      <c r="M303" s="7">
        <v>0.33</v>
      </c>
      <c r="N303" s="7">
        <v>0.48</v>
      </c>
      <c r="O303" s="7">
        <v>0.48</v>
      </c>
      <c r="P303" s="7">
        <v>0.51</v>
      </c>
      <c r="Q303" s="7">
        <v>0.37</v>
      </c>
      <c r="R303" s="7">
        <v>0.44</v>
      </c>
      <c r="S303" s="7">
        <v>0.39</v>
      </c>
      <c r="T303" s="7">
        <v>0.46</v>
      </c>
      <c r="U303" s="7">
        <v>0.47</v>
      </c>
      <c r="V303" s="7">
        <v>0.49</v>
      </c>
      <c r="W303" s="7">
        <v>0.51</v>
      </c>
      <c r="X303" s="7">
        <v>0.54</v>
      </c>
    </row>
    <row r="304" spans="1:24" ht="14.4" x14ac:dyDescent="0.3">
      <c r="A304" s="27"/>
      <c r="B304" s="6" t="s">
        <v>66</v>
      </c>
      <c r="C304" s="8">
        <v>0.09</v>
      </c>
      <c r="D304" s="8">
        <v>0.09</v>
      </c>
      <c r="E304" s="8">
        <v>0.16</v>
      </c>
      <c r="F304" s="8">
        <v>0.1</v>
      </c>
      <c r="G304" s="8">
        <v>0.12</v>
      </c>
      <c r="H304" s="8">
        <v>0.11</v>
      </c>
      <c r="I304" s="8">
        <v>0.14000000000000001</v>
      </c>
      <c r="J304" s="8">
        <v>0.16</v>
      </c>
      <c r="K304" s="8">
        <v>0.16</v>
      </c>
      <c r="L304" s="8">
        <v>0.14000000000000001</v>
      </c>
      <c r="M304" s="8">
        <v>0.15</v>
      </c>
      <c r="N304" s="8">
        <v>0.19</v>
      </c>
      <c r="O304" s="8">
        <v>0.2</v>
      </c>
      <c r="P304" s="8">
        <v>0.2</v>
      </c>
      <c r="Q304" s="8">
        <v>0.17</v>
      </c>
      <c r="R304" s="8">
        <v>0.2</v>
      </c>
      <c r="S304" s="8">
        <v>0.18</v>
      </c>
      <c r="T304" s="8">
        <v>0.2</v>
      </c>
      <c r="U304" s="8">
        <v>0.2</v>
      </c>
      <c r="V304" s="8">
        <v>0.2</v>
      </c>
      <c r="W304" s="8">
        <v>0.2</v>
      </c>
      <c r="X304" s="8">
        <v>0.2</v>
      </c>
    </row>
    <row r="305" spans="1:24" ht="14.4" x14ac:dyDescent="0.3">
      <c r="A305" s="27"/>
      <c r="B305" s="6" t="s">
        <v>67</v>
      </c>
      <c r="C305" s="7">
        <v>0.5</v>
      </c>
      <c r="D305" s="7">
        <v>0.5</v>
      </c>
      <c r="E305" s="7">
        <v>0.5</v>
      </c>
      <c r="F305" s="7">
        <v>0.5</v>
      </c>
      <c r="G305" s="7">
        <v>0.5</v>
      </c>
      <c r="H305" s="7">
        <v>0.5</v>
      </c>
      <c r="I305" s="7">
        <v>0.5</v>
      </c>
      <c r="J305" s="7">
        <v>0.5</v>
      </c>
      <c r="K305" s="7">
        <v>0.5</v>
      </c>
      <c r="L305" s="7">
        <v>0.5</v>
      </c>
      <c r="M305" s="7">
        <v>0.5</v>
      </c>
      <c r="N305" s="7">
        <v>0.5</v>
      </c>
      <c r="O305" s="7">
        <v>0.5</v>
      </c>
      <c r="P305" s="7">
        <v>0.5</v>
      </c>
      <c r="Q305" s="7">
        <v>0.5</v>
      </c>
      <c r="R305" s="7">
        <v>0.5</v>
      </c>
      <c r="S305" s="7">
        <v>0.5</v>
      </c>
      <c r="T305" s="7">
        <v>0.5</v>
      </c>
      <c r="U305" s="7">
        <v>0.5</v>
      </c>
      <c r="V305" s="7">
        <v>0.5</v>
      </c>
      <c r="W305" s="7">
        <v>0.5</v>
      </c>
      <c r="X305" s="7">
        <v>0.5</v>
      </c>
    </row>
    <row r="306" spans="1:24" ht="14.4" x14ac:dyDescent="0.3">
      <c r="A306" s="27"/>
      <c r="B306" s="6" t="s">
        <v>68</v>
      </c>
      <c r="C306" s="8">
        <v>0.03</v>
      </c>
      <c r="D306" s="8">
        <v>0.03</v>
      </c>
      <c r="E306" s="8">
        <v>0.03</v>
      </c>
      <c r="F306" s="8">
        <v>0.04</v>
      </c>
      <c r="G306" s="8">
        <v>7.0000000000000007E-2</v>
      </c>
      <c r="H306" s="8">
        <v>0.08</v>
      </c>
      <c r="I306" s="8">
        <v>0.06</v>
      </c>
      <c r="J306" s="8">
        <v>0.06</v>
      </c>
      <c r="K306" s="8">
        <v>0.06</v>
      </c>
      <c r="L306" s="8">
        <v>7.0000000000000007E-2</v>
      </c>
      <c r="M306" s="8">
        <v>0.08</v>
      </c>
      <c r="N306" s="8">
        <v>0.05</v>
      </c>
      <c r="O306" s="8">
        <v>0.05</v>
      </c>
      <c r="P306" s="8">
        <v>0.04</v>
      </c>
      <c r="Q306" s="8">
        <v>0.05</v>
      </c>
      <c r="R306" s="8">
        <v>0.06</v>
      </c>
      <c r="S306" s="8">
        <v>7.0000000000000007E-2</v>
      </c>
      <c r="T306" s="8">
        <v>0.06</v>
      </c>
      <c r="U306" s="8">
        <v>0.06</v>
      </c>
      <c r="V306" s="8">
        <v>0.06</v>
      </c>
      <c r="W306" s="8">
        <v>0.06</v>
      </c>
      <c r="X306" s="8">
        <v>0.06</v>
      </c>
    </row>
    <row r="307" spans="1:24" ht="14.4" x14ac:dyDescent="0.3">
      <c r="A307" s="27"/>
      <c r="B307" s="6" t="s">
        <v>69</v>
      </c>
      <c r="C307" s="7">
        <v>0.03</v>
      </c>
      <c r="D307" s="7">
        <v>0.02</v>
      </c>
      <c r="E307" s="7">
        <v>0.02</v>
      </c>
      <c r="F307" s="7">
        <v>0.01</v>
      </c>
      <c r="G307" s="7">
        <v>0</v>
      </c>
      <c r="H307" s="7">
        <v>0.01</v>
      </c>
      <c r="I307" s="7">
        <v>0.01</v>
      </c>
      <c r="J307" s="7">
        <v>0.01</v>
      </c>
      <c r="K307" s="7">
        <v>0.01</v>
      </c>
      <c r="L307" s="7">
        <v>0.01</v>
      </c>
      <c r="M307" s="7">
        <v>0.01</v>
      </c>
      <c r="N307" s="7">
        <v>0.01</v>
      </c>
      <c r="O307" s="7">
        <v>0.01</v>
      </c>
      <c r="P307" s="7">
        <v>0.01</v>
      </c>
      <c r="Q307" s="7">
        <v>0.01</v>
      </c>
      <c r="R307" s="7">
        <v>0.01</v>
      </c>
      <c r="S307" s="7">
        <v>0.01</v>
      </c>
      <c r="T307" s="7">
        <v>0.01</v>
      </c>
      <c r="U307" s="7">
        <v>0.01</v>
      </c>
      <c r="V307" s="7">
        <v>0.01</v>
      </c>
      <c r="W307" s="7">
        <v>0.01</v>
      </c>
      <c r="X307" s="7">
        <v>0.01</v>
      </c>
    </row>
    <row r="308" spans="1:24" ht="14.4" x14ac:dyDescent="0.3">
      <c r="A308" s="27"/>
      <c r="B308" s="6" t="s">
        <v>70</v>
      </c>
      <c r="C308" s="8">
        <v>0.18</v>
      </c>
      <c r="D308" s="8">
        <v>0.18</v>
      </c>
      <c r="E308" s="8">
        <v>0.18</v>
      </c>
      <c r="F308" s="8">
        <v>0.18</v>
      </c>
      <c r="G308" s="8">
        <v>0.19</v>
      </c>
      <c r="H308" s="8">
        <v>0.19</v>
      </c>
      <c r="I308" s="8">
        <v>0.18</v>
      </c>
      <c r="J308" s="8">
        <v>0.18</v>
      </c>
      <c r="K308" s="8">
        <v>0.18</v>
      </c>
      <c r="L308" s="8">
        <v>0.19</v>
      </c>
      <c r="M308" s="8">
        <v>0.19</v>
      </c>
      <c r="N308" s="8">
        <v>0.18</v>
      </c>
      <c r="O308" s="8">
        <v>0.18</v>
      </c>
      <c r="P308" s="8">
        <v>0.18</v>
      </c>
      <c r="Q308" s="8">
        <v>0.18</v>
      </c>
      <c r="R308" s="8">
        <v>0.19</v>
      </c>
      <c r="S308" s="8">
        <v>0.19</v>
      </c>
      <c r="T308" s="8">
        <v>0.18</v>
      </c>
      <c r="U308" s="8">
        <v>0.18</v>
      </c>
      <c r="V308" s="8">
        <v>0.18</v>
      </c>
      <c r="W308" s="8">
        <v>0.19</v>
      </c>
      <c r="X308" s="8">
        <v>0.19</v>
      </c>
    </row>
  </sheetData>
  <mergeCells count="35">
    <mergeCell ref="A282:A290"/>
    <mergeCell ref="A291:A299"/>
    <mergeCell ref="A300:A308"/>
    <mergeCell ref="A183:A191"/>
    <mergeCell ref="A192:A200"/>
    <mergeCell ref="A201:A209"/>
    <mergeCell ref="A210:A218"/>
    <mergeCell ref="A219:A227"/>
    <mergeCell ref="A228:A236"/>
    <mergeCell ref="A237:A245"/>
    <mergeCell ref="A174:A182"/>
    <mergeCell ref="A246:A254"/>
    <mergeCell ref="A255:A263"/>
    <mergeCell ref="A264:A272"/>
    <mergeCell ref="A273:A281"/>
    <mergeCell ref="A129:A137"/>
    <mergeCell ref="A138:A146"/>
    <mergeCell ref="A147:A155"/>
    <mergeCell ref="A156:A164"/>
    <mergeCell ref="A165:A173"/>
    <mergeCell ref="A84:A92"/>
    <mergeCell ref="A93:A101"/>
    <mergeCell ref="A102:A110"/>
    <mergeCell ref="A111:A119"/>
    <mergeCell ref="A120:A128"/>
    <mergeCell ref="A39:A47"/>
    <mergeCell ref="A48:A56"/>
    <mergeCell ref="A57:A65"/>
    <mergeCell ref="A66:A74"/>
    <mergeCell ref="A75:A83"/>
    <mergeCell ref="A1:N1"/>
    <mergeCell ref="A3:A11"/>
    <mergeCell ref="A12:A20"/>
    <mergeCell ref="A21:A29"/>
    <mergeCell ref="A30:A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1"/>
  <sheetViews>
    <sheetView topLeftCell="O1" workbookViewId="0">
      <selection activeCell="V13" sqref="V13"/>
    </sheetView>
  </sheetViews>
  <sheetFormatPr defaultColWidth="14.44140625" defaultRowHeight="15" customHeight="1" x14ac:dyDescent="0.3"/>
  <cols>
    <col min="1" max="2" width="8.6640625" customWidth="1"/>
    <col min="3" max="3" width="12" customWidth="1"/>
    <col min="4" max="40" width="8.6640625" customWidth="1"/>
  </cols>
  <sheetData>
    <row r="1" spans="1:26" ht="14.25" customHeight="1" x14ac:dyDescent="0.3">
      <c r="A1" s="3" t="s">
        <v>0</v>
      </c>
      <c r="B1" s="3" t="s">
        <v>78</v>
      </c>
      <c r="C1" s="3" t="s">
        <v>79</v>
      </c>
      <c r="D1" s="3" t="s">
        <v>80</v>
      </c>
      <c r="E1" s="3" t="s">
        <v>81</v>
      </c>
      <c r="F1" s="3" t="s">
        <v>82</v>
      </c>
      <c r="G1" s="3" t="s">
        <v>83</v>
      </c>
      <c r="H1" s="3" t="s">
        <v>84</v>
      </c>
      <c r="I1" s="3" t="s">
        <v>85</v>
      </c>
      <c r="J1" s="3" t="s">
        <v>86</v>
      </c>
      <c r="K1" s="3" t="s">
        <v>87</v>
      </c>
      <c r="L1" s="3" t="s">
        <v>88</v>
      </c>
      <c r="M1" s="3" t="s">
        <v>89</v>
      </c>
      <c r="N1" s="3" t="s">
        <v>90</v>
      </c>
      <c r="O1" s="3" t="s">
        <v>91</v>
      </c>
      <c r="P1" s="3" t="s">
        <v>92</v>
      </c>
      <c r="Q1" s="3" t="s">
        <v>93</v>
      </c>
      <c r="R1" s="3" t="s">
        <v>94</v>
      </c>
      <c r="S1" s="3" t="s">
        <v>95</v>
      </c>
      <c r="T1" s="3" t="s">
        <v>96</v>
      </c>
      <c r="U1" s="3" t="s">
        <v>97</v>
      </c>
      <c r="V1" s="3" t="s">
        <v>98</v>
      </c>
      <c r="W1" s="29" t="s">
        <v>99</v>
      </c>
      <c r="X1" s="27"/>
      <c r="Z1" s="5" t="s">
        <v>100</v>
      </c>
    </row>
    <row r="2" spans="1:26" ht="14.25" customHeight="1" x14ac:dyDescent="0.3">
      <c r="A2" s="3" t="s">
        <v>4</v>
      </c>
      <c r="B2" s="13">
        <v>0.38</v>
      </c>
      <c r="C2" s="13">
        <v>0.36</v>
      </c>
      <c r="D2" s="13">
        <v>0.46</v>
      </c>
      <c r="E2" s="13">
        <v>0.48</v>
      </c>
      <c r="F2" s="13">
        <v>0.46</v>
      </c>
      <c r="G2" s="13">
        <v>0.46</v>
      </c>
      <c r="H2" s="13">
        <v>0.47</v>
      </c>
      <c r="I2" s="13">
        <v>0.48</v>
      </c>
      <c r="J2" s="13">
        <v>0.49</v>
      </c>
      <c r="K2" s="13">
        <v>0.49</v>
      </c>
      <c r="L2" s="13">
        <v>0.48</v>
      </c>
      <c r="M2" s="13">
        <v>0.46</v>
      </c>
      <c r="N2" s="13">
        <v>0.45</v>
      </c>
      <c r="O2" s="13">
        <v>0.46</v>
      </c>
      <c r="P2" s="13">
        <v>0.43</v>
      </c>
      <c r="Q2" s="13">
        <v>0.41</v>
      </c>
      <c r="R2" s="13">
        <v>0.42</v>
      </c>
      <c r="S2" s="13">
        <v>0.41</v>
      </c>
      <c r="T2" s="13">
        <v>0.45</v>
      </c>
      <c r="U2" s="13">
        <v>0.49</v>
      </c>
      <c r="V2" s="13">
        <v>0.47</v>
      </c>
      <c r="W2" s="13">
        <v>0.49</v>
      </c>
      <c r="Z2" s="5">
        <f t="shared" ref="Z2:Z28" si="0">AVERAGE(B2:W2)</f>
        <v>0.45227272727272722</v>
      </c>
    </row>
    <row r="3" spans="1:26" ht="14.25" customHeight="1" x14ac:dyDescent="0.3">
      <c r="A3" s="3" t="s">
        <v>7</v>
      </c>
      <c r="B3" s="13">
        <v>0.55000000000000004</v>
      </c>
      <c r="C3" s="13">
        <v>0.5</v>
      </c>
      <c r="D3" s="13">
        <v>0.4</v>
      </c>
      <c r="E3" s="13">
        <v>0.4</v>
      </c>
      <c r="F3" s="13">
        <v>0.42</v>
      </c>
      <c r="G3" s="13">
        <v>0.47</v>
      </c>
      <c r="H3" s="13">
        <v>0.45</v>
      </c>
      <c r="I3" s="13">
        <v>0.47</v>
      </c>
      <c r="J3" s="13">
        <v>0.46</v>
      </c>
      <c r="K3" s="13">
        <v>0.52</v>
      </c>
      <c r="L3" s="13">
        <v>0.49</v>
      </c>
      <c r="M3" s="13">
        <v>0.47</v>
      </c>
      <c r="N3" s="13">
        <v>0.47</v>
      </c>
      <c r="O3" s="13">
        <v>0.47</v>
      </c>
      <c r="P3" s="13">
        <v>0.48</v>
      </c>
      <c r="Q3" s="13">
        <v>0.5</v>
      </c>
      <c r="R3" s="13">
        <v>0.49</v>
      </c>
      <c r="S3" s="13">
        <v>0.48</v>
      </c>
      <c r="T3" s="13">
        <v>0.48</v>
      </c>
      <c r="U3" s="13">
        <v>0.49</v>
      </c>
      <c r="V3" s="13">
        <v>0.49</v>
      </c>
      <c r="W3" s="13">
        <v>0.51</v>
      </c>
      <c r="Z3" s="5">
        <f t="shared" si="0"/>
        <v>0.47545454545454552</v>
      </c>
    </row>
    <row r="4" spans="1:26" ht="14.25" customHeight="1" x14ac:dyDescent="0.3">
      <c r="A4" s="3" t="s">
        <v>9</v>
      </c>
      <c r="B4" s="13">
        <v>0.6</v>
      </c>
      <c r="C4" s="13">
        <v>0.61</v>
      </c>
      <c r="D4" s="13">
        <v>0.56000000000000005</v>
      </c>
      <c r="E4" s="13">
        <v>0.56999999999999995</v>
      </c>
      <c r="F4" s="13">
        <v>0.52</v>
      </c>
      <c r="G4" s="13">
        <v>0.5</v>
      </c>
      <c r="H4" s="13">
        <v>0.48</v>
      </c>
      <c r="I4" s="13">
        <v>0.47</v>
      </c>
      <c r="J4" s="13">
        <v>0.51</v>
      </c>
      <c r="K4" s="13">
        <v>0.48</v>
      </c>
      <c r="L4" s="13">
        <v>0.47</v>
      </c>
      <c r="M4" s="13">
        <v>0.47</v>
      </c>
      <c r="N4" s="13">
        <v>0.45</v>
      </c>
      <c r="O4" s="13">
        <v>0.49</v>
      </c>
      <c r="P4" s="13">
        <v>0.52</v>
      </c>
      <c r="Q4" s="13">
        <v>0.51</v>
      </c>
      <c r="R4" s="13">
        <v>0.5</v>
      </c>
      <c r="S4" s="13">
        <v>0.51</v>
      </c>
      <c r="T4" s="13">
        <v>0.5</v>
      </c>
      <c r="U4" s="13">
        <v>0.49</v>
      </c>
      <c r="V4" s="13">
        <v>0.48</v>
      </c>
      <c r="W4" s="13">
        <v>0.47</v>
      </c>
      <c r="Z4" s="5">
        <f t="shared" si="0"/>
        <v>0.50727272727272732</v>
      </c>
    </row>
    <row r="5" spans="1:26" ht="14.25" customHeight="1" x14ac:dyDescent="0.3">
      <c r="A5" s="3" t="s">
        <v>11</v>
      </c>
      <c r="B5" s="13">
        <v>0.48</v>
      </c>
      <c r="C5" s="13">
        <v>0.45</v>
      </c>
      <c r="D5" s="13">
        <v>0.43</v>
      </c>
      <c r="E5" s="13">
        <v>0.42</v>
      </c>
      <c r="F5" s="13">
        <v>0.47</v>
      </c>
      <c r="G5" s="13">
        <v>0.49</v>
      </c>
      <c r="H5" s="13">
        <v>0.54</v>
      </c>
      <c r="I5" s="13">
        <v>0.55000000000000004</v>
      </c>
      <c r="J5" s="13">
        <v>0.56999999999999995</v>
      </c>
      <c r="K5" s="13">
        <v>0.55000000000000004</v>
      </c>
      <c r="L5" s="13">
        <v>0.52</v>
      </c>
      <c r="M5" s="13">
        <v>0.48</v>
      </c>
      <c r="N5" s="13">
        <v>0.47</v>
      </c>
      <c r="O5" s="13">
        <v>0.47</v>
      </c>
      <c r="P5" s="13">
        <v>0.45</v>
      </c>
      <c r="Q5" s="13">
        <v>0.45</v>
      </c>
      <c r="R5" s="13">
        <v>0.45</v>
      </c>
      <c r="S5" s="13">
        <v>0.41</v>
      </c>
      <c r="T5" s="13">
        <v>0.42</v>
      </c>
      <c r="U5" s="13">
        <v>0.41</v>
      </c>
      <c r="V5" s="13">
        <v>0.42</v>
      </c>
      <c r="W5" s="13">
        <v>0.41</v>
      </c>
      <c r="Z5" s="5">
        <f t="shared" si="0"/>
        <v>0.46863636363636368</v>
      </c>
    </row>
    <row r="6" spans="1:26" ht="14.25" customHeight="1" x14ac:dyDescent="0.3">
      <c r="A6" s="3" t="s">
        <v>101</v>
      </c>
      <c r="B6" s="13">
        <v>0.35</v>
      </c>
      <c r="C6" s="13">
        <v>0.42</v>
      </c>
      <c r="D6" s="13">
        <v>0.43</v>
      </c>
      <c r="E6" s="13">
        <v>0.42</v>
      </c>
      <c r="F6" s="13">
        <v>0.43</v>
      </c>
      <c r="G6" s="13">
        <v>0.43</v>
      </c>
      <c r="H6" s="13">
        <v>0.44</v>
      </c>
      <c r="I6" s="13">
        <v>0.44</v>
      </c>
      <c r="J6" s="13">
        <v>0.44</v>
      </c>
      <c r="K6" s="13">
        <v>0.43</v>
      </c>
      <c r="L6" s="13">
        <v>0.43</v>
      </c>
      <c r="M6" s="13">
        <v>0.43</v>
      </c>
      <c r="N6" s="13">
        <v>0.42</v>
      </c>
      <c r="O6" s="13">
        <v>0.42</v>
      </c>
      <c r="P6" s="13">
        <v>0.42</v>
      </c>
      <c r="Q6" s="13">
        <v>0.46</v>
      </c>
      <c r="R6" s="13">
        <v>0.43</v>
      </c>
      <c r="S6" s="13">
        <v>0.39</v>
      </c>
      <c r="T6" s="13">
        <v>0.4</v>
      </c>
      <c r="U6" s="13">
        <v>0.43</v>
      </c>
      <c r="V6" s="13">
        <v>0.41</v>
      </c>
      <c r="W6" s="13">
        <v>0.42</v>
      </c>
      <c r="Z6" s="5">
        <f t="shared" si="0"/>
        <v>0.42227272727272713</v>
      </c>
    </row>
    <row r="7" spans="1:26" ht="14.25" customHeight="1" x14ac:dyDescent="0.3">
      <c r="A7" s="3" t="s">
        <v>15</v>
      </c>
      <c r="B7" s="13">
        <v>0.56000000000000005</v>
      </c>
      <c r="C7" s="13">
        <v>0.34</v>
      </c>
      <c r="D7" s="13">
        <v>0.35</v>
      </c>
      <c r="E7" s="13">
        <v>0.37</v>
      </c>
      <c r="F7" s="13">
        <v>0.32</v>
      </c>
      <c r="G7" s="13">
        <v>0.28999999999999998</v>
      </c>
      <c r="H7" s="13">
        <v>0.31</v>
      </c>
      <c r="I7" s="13">
        <v>0.33</v>
      </c>
      <c r="J7" s="13">
        <v>0.34</v>
      </c>
      <c r="K7" s="13">
        <v>0.34</v>
      </c>
      <c r="L7" s="13">
        <v>0.34</v>
      </c>
      <c r="M7" s="13">
        <v>0.37</v>
      </c>
      <c r="N7" s="13">
        <v>0.37</v>
      </c>
      <c r="O7" s="13">
        <v>0.37</v>
      </c>
      <c r="P7" s="13">
        <v>0.39</v>
      </c>
      <c r="Q7" s="13">
        <v>0.39</v>
      </c>
      <c r="R7" s="13">
        <v>0.41</v>
      </c>
      <c r="S7" s="13">
        <v>0.41</v>
      </c>
      <c r="T7" s="13">
        <v>0.41</v>
      </c>
      <c r="U7" s="13">
        <v>0.41</v>
      </c>
      <c r="V7" s="13">
        <v>0.39</v>
      </c>
      <c r="W7" s="13">
        <v>0.43</v>
      </c>
      <c r="Z7" s="5">
        <f t="shared" si="0"/>
        <v>0.37454545454545457</v>
      </c>
    </row>
    <row r="8" spans="1:26" ht="14.25" customHeight="1" x14ac:dyDescent="0.3">
      <c r="A8" s="3" t="s">
        <v>102</v>
      </c>
      <c r="B8" s="13">
        <v>0.57999999999999996</v>
      </c>
      <c r="C8" s="13">
        <v>0.59</v>
      </c>
      <c r="D8" s="13">
        <v>0.53</v>
      </c>
      <c r="E8" s="13">
        <v>0.54</v>
      </c>
      <c r="F8" s="13">
        <v>0.53</v>
      </c>
      <c r="G8" s="13">
        <v>0.54</v>
      </c>
      <c r="H8" s="13">
        <v>0.54</v>
      </c>
      <c r="I8" s="13">
        <v>0.52</v>
      </c>
      <c r="J8" s="13">
        <v>0.52</v>
      </c>
      <c r="K8" s="13">
        <v>0.51</v>
      </c>
      <c r="L8" s="13">
        <v>0.49</v>
      </c>
      <c r="M8" s="13">
        <v>0.45</v>
      </c>
      <c r="N8" s="13">
        <v>0.44</v>
      </c>
      <c r="O8" s="13">
        <v>0.44</v>
      </c>
      <c r="P8" s="13">
        <v>0.46</v>
      </c>
      <c r="Q8" s="13">
        <v>0.47</v>
      </c>
      <c r="R8" s="13">
        <v>0.47</v>
      </c>
      <c r="S8" s="13">
        <v>0.5</v>
      </c>
      <c r="T8" s="13">
        <v>0.5</v>
      </c>
      <c r="U8" s="13">
        <v>0.53</v>
      </c>
      <c r="V8" s="13">
        <v>0.51</v>
      </c>
      <c r="W8" s="13">
        <v>0.52</v>
      </c>
      <c r="Z8" s="5">
        <f t="shared" si="0"/>
        <v>0.50818181818181829</v>
      </c>
    </row>
    <row r="9" spans="1:26" ht="14.25" customHeight="1" x14ac:dyDescent="0.3">
      <c r="A9" s="3" t="s">
        <v>19</v>
      </c>
      <c r="B9" s="13">
        <v>0.54</v>
      </c>
      <c r="C9" s="13">
        <v>0.5</v>
      </c>
      <c r="D9" s="13">
        <v>0.49</v>
      </c>
      <c r="E9" s="13">
        <v>0.49</v>
      </c>
      <c r="F9" s="13">
        <v>0.52</v>
      </c>
      <c r="G9" s="13">
        <v>0.55000000000000004</v>
      </c>
      <c r="H9" s="13">
        <v>0.56999999999999995</v>
      </c>
      <c r="I9" s="13">
        <v>0.56000000000000005</v>
      </c>
      <c r="J9" s="13">
        <v>0.56000000000000005</v>
      </c>
      <c r="K9" s="13">
        <v>0.56000000000000005</v>
      </c>
      <c r="L9" s="13">
        <v>0.56000000000000005</v>
      </c>
      <c r="M9" s="13">
        <v>0.57999999999999996</v>
      </c>
      <c r="N9" s="13">
        <v>0.56999999999999995</v>
      </c>
      <c r="O9" s="13">
        <v>0.56999999999999995</v>
      </c>
      <c r="P9" s="13">
        <v>0.57999999999999996</v>
      </c>
      <c r="Q9" s="13">
        <v>0.6</v>
      </c>
      <c r="R9" s="13">
        <v>0.59</v>
      </c>
      <c r="S9" s="13">
        <v>0.57999999999999996</v>
      </c>
      <c r="T9" s="13">
        <v>0.59</v>
      </c>
      <c r="U9" s="13">
        <v>0.57999999999999996</v>
      </c>
      <c r="V9" s="13">
        <v>0.59</v>
      </c>
      <c r="W9" s="13">
        <v>0.56999999999999995</v>
      </c>
      <c r="Z9" s="5">
        <f t="shared" si="0"/>
        <v>0.55909090909090908</v>
      </c>
    </row>
    <row r="10" spans="1:26" ht="14.25" customHeight="1" x14ac:dyDescent="0.3">
      <c r="A10" s="3" t="s">
        <v>21</v>
      </c>
      <c r="B10" s="13">
        <v>0.32</v>
      </c>
      <c r="C10" s="13">
        <v>0.34</v>
      </c>
      <c r="D10" s="13">
        <v>0.3</v>
      </c>
      <c r="E10" s="13">
        <v>0.28999999999999998</v>
      </c>
      <c r="F10" s="13">
        <v>0.3</v>
      </c>
      <c r="G10" s="13">
        <v>0.25</v>
      </c>
      <c r="H10" s="13">
        <v>0.23</v>
      </c>
      <c r="I10" s="13">
        <v>0.28999999999999998</v>
      </c>
      <c r="J10" s="13">
        <v>0.26</v>
      </c>
      <c r="K10" s="13">
        <v>0.27</v>
      </c>
      <c r="L10" s="13">
        <v>0.25</v>
      </c>
      <c r="M10" s="13">
        <v>0.27</v>
      </c>
      <c r="N10" s="13">
        <v>0.28000000000000003</v>
      </c>
      <c r="O10" s="13">
        <v>0.27</v>
      </c>
      <c r="P10" s="13">
        <v>0.28000000000000003</v>
      </c>
      <c r="Q10" s="13">
        <v>0.27</v>
      </c>
      <c r="R10" s="13">
        <v>0.28000000000000003</v>
      </c>
      <c r="S10" s="13">
        <v>0.33</v>
      </c>
      <c r="T10" s="13">
        <v>0.32</v>
      </c>
      <c r="U10" s="13">
        <v>0.31</v>
      </c>
      <c r="V10" s="13">
        <v>0.3</v>
      </c>
      <c r="W10" s="13">
        <v>0.28000000000000003</v>
      </c>
      <c r="Z10" s="5">
        <f t="shared" si="0"/>
        <v>0.28590909090909095</v>
      </c>
    </row>
    <row r="11" spans="1:26" ht="14.25" customHeight="1" x14ac:dyDescent="0.3">
      <c r="A11" s="3" t="s">
        <v>23</v>
      </c>
      <c r="B11" s="13">
        <v>0.52</v>
      </c>
      <c r="C11" s="13">
        <v>0.53</v>
      </c>
      <c r="D11" s="13">
        <v>0.53</v>
      </c>
      <c r="E11" s="13">
        <v>0.53</v>
      </c>
      <c r="F11" s="13">
        <v>0.51</v>
      </c>
      <c r="G11" s="13">
        <v>0.51</v>
      </c>
      <c r="H11" s="13">
        <v>0.51</v>
      </c>
      <c r="I11" s="13">
        <v>0.5</v>
      </c>
      <c r="J11" s="13">
        <v>0.49</v>
      </c>
      <c r="K11" s="13">
        <v>0.49</v>
      </c>
      <c r="L11" s="13">
        <v>0.5</v>
      </c>
      <c r="M11" s="13">
        <v>0.51</v>
      </c>
      <c r="N11" s="13">
        <v>0.48</v>
      </c>
      <c r="O11" s="13">
        <v>0.49</v>
      </c>
      <c r="P11" s="13">
        <v>0.5</v>
      </c>
      <c r="Q11" s="13">
        <v>0.52</v>
      </c>
      <c r="R11" s="13">
        <v>0.52</v>
      </c>
      <c r="S11" s="13">
        <v>0.51</v>
      </c>
      <c r="T11" s="13">
        <v>0.54</v>
      </c>
      <c r="U11" s="13">
        <v>0.51</v>
      </c>
      <c r="V11" s="13">
        <v>0.53</v>
      </c>
      <c r="W11" s="13">
        <v>0.52</v>
      </c>
      <c r="Z11" s="5">
        <f t="shared" si="0"/>
        <v>0.51136363636363624</v>
      </c>
    </row>
    <row r="12" spans="1:26" ht="14.25" customHeight="1" x14ac:dyDescent="0.3">
      <c r="A12" s="3" t="s">
        <v>25</v>
      </c>
      <c r="B12" s="13">
        <v>0.62</v>
      </c>
      <c r="C12" s="13">
        <v>0.59</v>
      </c>
      <c r="D12" s="13">
        <v>0.62</v>
      </c>
      <c r="E12" s="13">
        <v>0.63</v>
      </c>
      <c r="F12" s="13">
        <v>0.67</v>
      </c>
      <c r="G12" s="13">
        <v>0.67</v>
      </c>
      <c r="H12" s="13">
        <v>0.66</v>
      </c>
      <c r="I12" s="13">
        <v>0.65</v>
      </c>
      <c r="J12" s="13">
        <v>0.65</v>
      </c>
      <c r="K12" s="13">
        <v>0.66</v>
      </c>
      <c r="L12" s="13">
        <v>0.65</v>
      </c>
      <c r="M12" s="13">
        <v>0.63</v>
      </c>
      <c r="N12" s="13">
        <v>0.63</v>
      </c>
      <c r="O12" s="13">
        <v>0.63</v>
      </c>
      <c r="P12" s="13">
        <v>0.64</v>
      </c>
      <c r="Q12" s="13">
        <v>0.67</v>
      </c>
      <c r="R12" s="13">
        <v>0.67</v>
      </c>
      <c r="S12" s="13">
        <v>0.67</v>
      </c>
      <c r="T12" s="13">
        <v>0.65</v>
      </c>
      <c r="U12" s="13">
        <v>0.67</v>
      </c>
      <c r="V12" s="13">
        <v>0.67</v>
      </c>
      <c r="W12" s="13">
        <v>0.68</v>
      </c>
      <c r="Z12" s="5">
        <f t="shared" si="0"/>
        <v>0.64909090909090927</v>
      </c>
    </row>
    <row r="13" spans="1:26" ht="14.25" customHeight="1" x14ac:dyDescent="0.3">
      <c r="A13" s="3" t="s">
        <v>27</v>
      </c>
      <c r="B13" s="13">
        <v>0.71</v>
      </c>
      <c r="C13" s="13">
        <v>0.67</v>
      </c>
      <c r="D13" s="13">
        <v>0.66</v>
      </c>
      <c r="E13" s="13">
        <v>0.67</v>
      </c>
      <c r="F13" s="13">
        <v>0.68</v>
      </c>
      <c r="G13" s="13">
        <v>0.68</v>
      </c>
      <c r="H13" s="13">
        <v>0.69</v>
      </c>
      <c r="I13" s="13">
        <v>0.67</v>
      </c>
      <c r="J13" s="13">
        <v>0.66</v>
      </c>
      <c r="K13" s="13">
        <v>0.66</v>
      </c>
      <c r="L13" s="13">
        <v>0.65</v>
      </c>
      <c r="M13" s="13">
        <v>0.63</v>
      </c>
      <c r="N13" s="13">
        <v>0.59</v>
      </c>
      <c r="O13" s="13">
        <v>0.6</v>
      </c>
      <c r="P13" s="13">
        <v>0.61</v>
      </c>
      <c r="Q13" s="13">
        <v>0.61</v>
      </c>
      <c r="R13" s="13">
        <v>0.59</v>
      </c>
      <c r="S13" s="13">
        <v>0.56999999999999995</v>
      </c>
      <c r="T13" s="13">
        <v>0.56000000000000005</v>
      </c>
      <c r="U13" s="13">
        <v>0.56999999999999995</v>
      </c>
      <c r="V13" s="13">
        <v>0.56999999999999995</v>
      </c>
      <c r="W13" s="13">
        <v>0.55000000000000004</v>
      </c>
      <c r="Z13" s="5">
        <f t="shared" si="0"/>
        <v>0.62954545454545463</v>
      </c>
    </row>
    <row r="14" spans="1:26" ht="14.25" customHeight="1" x14ac:dyDescent="0.3">
      <c r="A14" s="3" t="s">
        <v>29</v>
      </c>
      <c r="B14" s="13">
        <v>0.48</v>
      </c>
      <c r="C14" s="13">
        <v>0.47</v>
      </c>
      <c r="D14" s="13">
        <v>0.47</v>
      </c>
      <c r="E14" s="13">
        <v>0.6</v>
      </c>
      <c r="F14" s="13">
        <v>0.54</v>
      </c>
      <c r="G14" s="13">
        <v>0.52</v>
      </c>
      <c r="H14" s="13">
        <v>0.52</v>
      </c>
      <c r="I14" s="13">
        <v>0.51</v>
      </c>
      <c r="J14" s="13">
        <v>0.51</v>
      </c>
      <c r="K14" s="13">
        <v>0.5</v>
      </c>
      <c r="L14" s="13">
        <v>0.55000000000000004</v>
      </c>
      <c r="M14" s="13">
        <v>0.51</v>
      </c>
      <c r="N14" s="13">
        <v>0.49</v>
      </c>
      <c r="O14" s="13">
        <v>0.5</v>
      </c>
      <c r="P14" s="13">
        <v>0.51</v>
      </c>
      <c r="Q14" s="13">
        <v>0.51</v>
      </c>
      <c r="R14" s="13">
        <v>0.53</v>
      </c>
      <c r="S14" s="13">
        <v>0.54</v>
      </c>
      <c r="T14" s="13">
        <v>0.55000000000000004</v>
      </c>
      <c r="U14" s="13">
        <v>0.59</v>
      </c>
      <c r="V14" s="13">
        <v>0.56000000000000005</v>
      </c>
      <c r="W14" s="13">
        <v>0.57999999999999996</v>
      </c>
      <c r="Z14" s="5">
        <f t="shared" si="0"/>
        <v>0.52454545454545454</v>
      </c>
    </row>
    <row r="15" spans="1:26" ht="14.25" customHeight="1" x14ac:dyDescent="0.3">
      <c r="A15" s="3" t="s">
        <v>31</v>
      </c>
      <c r="B15" s="13">
        <v>0.52</v>
      </c>
      <c r="C15" s="13">
        <v>0.55000000000000004</v>
      </c>
      <c r="D15" s="13">
        <v>0.55000000000000004</v>
      </c>
      <c r="E15" s="13">
        <v>0.55000000000000004</v>
      </c>
      <c r="F15" s="13">
        <v>0.56000000000000005</v>
      </c>
      <c r="G15" s="13">
        <v>0.55000000000000004</v>
      </c>
      <c r="H15" s="13">
        <v>0.53</v>
      </c>
      <c r="I15" s="13">
        <v>0.54</v>
      </c>
      <c r="J15" s="13">
        <v>0.54</v>
      </c>
      <c r="K15" s="13">
        <v>0.54</v>
      </c>
      <c r="L15" s="13">
        <v>0.56999999999999995</v>
      </c>
      <c r="M15" s="13">
        <v>0.54</v>
      </c>
      <c r="N15" s="13">
        <v>0.52</v>
      </c>
      <c r="O15" s="13">
        <v>0.52</v>
      </c>
      <c r="P15" s="13">
        <v>0.52</v>
      </c>
      <c r="Q15" s="13">
        <v>0.55000000000000004</v>
      </c>
      <c r="R15" s="13">
        <v>0.55000000000000004</v>
      </c>
      <c r="S15" s="13">
        <v>0.54</v>
      </c>
      <c r="T15" s="13">
        <v>0.52</v>
      </c>
      <c r="U15" s="13">
        <v>0.52</v>
      </c>
      <c r="V15" s="13">
        <v>0.48</v>
      </c>
      <c r="W15" s="13">
        <v>0.49</v>
      </c>
      <c r="Z15" s="5">
        <f t="shared" si="0"/>
        <v>0.53409090909090917</v>
      </c>
    </row>
    <row r="16" spans="1:26" ht="14.25" customHeight="1" x14ac:dyDescent="0.3">
      <c r="A16" s="3" t="s">
        <v>33</v>
      </c>
      <c r="B16" s="13">
        <v>0.69</v>
      </c>
      <c r="C16" s="13">
        <v>0.68</v>
      </c>
      <c r="D16" s="13">
        <v>0.71</v>
      </c>
      <c r="E16" s="13">
        <v>0.69</v>
      </c>
      <c r="F16" s="13">
        <v>0.69</v>
      </c>
      <c r="G16" s="13">
        <v>0.67</v>
      </c>
      <c r="H16" s="13">
        <v>0.69</v>
      </c>
      <c r="I16" s="13">
        <v>0.67</v>
      </c>
      <c r="J16" s="13">
        <v>0.67</v>
      </c>
      <c r="K16" s="13">
        <v>0.67</v>
      </c>
      <c r="L16" s="13">
        <v>0.66</v>
      </c>
      <c r="M16" s="13">
        <v>0.67</v>
      </c>
      <c r="N16" s="13">
        <v>0.62</v>
      </c>
      <c r="O16" s="13">
        <v>0.61</v>
      </c>
      <c r="P16" s="13">
        <v>0.61</v>
      </c>
      <c r="Q16" s="13">
        <v>0.61</v>
      </c>
      <c r="R16" s="13">
        <v>0.61</v>
      </c>
      <c r="S16" s="13">
        <v>0.6</v>
      </c>
      <c r="T16" s="13">
        <v>0.59</v>
      </c>
      <c r="U16" s="13">
        <v>0.6</v>
      </c>
      <c r="V16" s="13">
        <v>0.6</v>
      </c>
      <c r="W16" s="13">
        <v>0.61</v>
      </c>
      <c r="Z16" s="5">
        <f t="shared" si="0"/>
        <v>0.64636363636363614</v>
      </c>
    </row>
    <row r="17" spans="1:26" ht="14.25" customHeight="1" x14ac:dyDescent="0.3">
      <c r="A17" s="3" t="s">
        <v>35</v>
      </c>
      <c r="B17" s="13">
        <v>0.31</v>
      </c>
      <c r="C17" s="13">
        <v>0.3</v>
      </c>
      <c r="D17" s="13">
        <v>0.33</v>
      </c>
      <c r="E17" s="13">
        <v>0.3</v>
      </c>
      <c r="F17" s="13">
        <v>0.28000000000000003</v>
      </c>
      <c r="G17" s="13">
        <v>0.28000000000000003</v>
      </c>
      <c r="H17" s="13">
        <v>0.3</v>
      </c>
      <c r="I17" s="13">
        <v>0.31</v>
      </c>
      <c r="J17" s="13">
        <v>0.31</v>
      </c>
      <c r="K17" s="13">
        <v>0.31</v>
      </c>
      <c r="L17" s="13">
        <v>0.31</v>
      </c>
      <c r="M17" s="13">
        <v>0.34</v>
      </c>
      <c r="N17" s="13">
        <v>0.41</v>
      </c>
      <c r="O17" s="13">
        <v>0.4</v>
      </c>
      <c r="P17" s="13">
        <v>0.39</v>
      </c>
      <c r="Q17" s="13">
        <v>0.42</v>
      </c>
      <c r="R17" s="13">
        <v>0.46</v>
      </c>
      <c r="S17" s="13">
        <v>0.44</v>
      </c>
      <c r="T17" s="13">
        <v>0.44</v>
      </c>
      <c r="U17" s="13">
        <v>0.44</v>
      </c>
      <c r="V17" s="13">
        <v>0.46</v>
      </c>
      <c r="W17" s="13">
        <v>0.4</v>
      </c>
      <c r="Z17" s="5">
        <f t="shared" si="0"/>
        <v>0.36090909090909096</v>
      </c>
    </row>
    <row r="18" spans="1:26" ht="14.25" customHeight="1" x14ac:dyDescent="0.3">
      <c r="A18" s="3" t="s">
        <v>37</v>
      </c>
      <c r="B18" s="13">
        <v>0.57999999999999996</v>
      </c>
      <c r="C18" s="13">
        <v>0.57999999999999996</v>
      </c>
      <c r="D18" s="13">
        <v>0.53</v>
      </c>
      <c r="E18" s="13">
        <v>0.55000000000000004</v>
      </c>
      <c r="F18" s="13">
        <v>0.56999999999999995</v>
      </c>
      <c r="G18" s="13">
        <v>0.59</v>
      </c>
      <c r="H18" s="13">
        <v>0.59</v>
      </c>
      <c r="I18" s="13">
        <v>0.6</v>
      </c>
      <c r="J18" s="13">
        <v>0.56999999999999995</v>
      </c>
      <c r="K18" s="13">
        <v>0.55000000000000004</v>
      </c>
      <c r="L18" s="13">
        <v>0.53</v>
      </c>
      <c r="M18" s="13">
        <v>0.54</v>
      </c>
      <c r="N18" s="13">
        <v>0.51</v>
      </c>
      <c r="O18" s="13">
        <v>0.51</v>
      </c>
      <c r="P18" s="13">
        <v>0.49</v>
      </c>
      <c r="Q18" s="13">
        <v>0.49</v>
      </c>
      <c r="R18" s="13">
        <v>0.48</v>
      </c>
      <c r="S18" s="13">
        <v>0.46</v>
      </c>
      <c r="T18" s="13">
        <v>0.44</v>
      </c>
      <c r="U18" s="13">
        <v>0.46</v>
      </c>
      <c r="V18" s="13">
        <v>0.44</v>
      </c>
      <c r="W18" s="13">
        <v>0.4</v>
      </c>
      <c r="Z18" s="5">
        <f t="shared" si="0"/>
        <v>0.52090909090909099</v>
      </c>
    </row>
    <row r="19" spans="1:26" ht="14.25" customHeight="1" x14ac:dyDescent="0.3">
      <c r="A19" s="3" t="s">
        <v>39</v>
      </c>
      <c r="B19" s="13">
        <v>0.35</v>
      </c>
      <c r="C19" s="13">
        <v>0.39</v>
      </c>
      <c r="D19" s="13">
        <v>0.3</v>
      </c>
      <c r="E19" s="13">
        <v>0.33</v>
      </c>
      <c r="F19" s="13">
        <v>0.33</v>
      </c>
      <c r="G19" s="13">
        <v>0.41</v>
      </c>
      <c r="H19" s="13">
        <v>0.38</v>
      </c>
      <c r="I19" s="13">
        <v>0.38</v>
      </c>
      <c r="J19" s="13">
        <v>0.39</v>
      </c>
      <c r="K19" s="13">
        <v>0.39</v>
      </c>
      <c r="L19" s="13">
        <v>0.39</v>
      </c>
      <c r="M19" s="13">
        <v>0.39</v>
      </c>
      <c r="N19" s="13">
        <v>0.39</v>
      </c>
      <c r="O19" s="13">
        <v>0.38</v>
      </c>
      <c r="P19" s="13">
        <v>0.37</v>
      </c>
      <c r="Q19" s="13">
        <v>0.39</v>
      </c>
      <c r="R19" s="13">
        <v>0.39</v>
      </c>
      <c r="S19" s="13">
        <v>0.39</v>
      </c>
      <c r="T19" s="13">
        <v>0.43</v>
      </c>
      <c r="U19" s="13">
        <v>0.43</v>
      </c>
      <c r="V19" s="13">
        <v>0.42</v>
      </c>
      <c r="W19" s="13">
        <v>0.43</v>
      </c>
      <c r="Z19" s="5">
        <f t="shared" si="0"/>
        <v>0.38409090909090898</v>
      </c>
    </row>
    <row r="20" spans="1:26" ht="14.25" customHeight="1" x14ac:dyDescent="0.3">
      <c r="A20" s="3" t="s">
        <v>41</v>
      </c>
      <c r="B20" s="13">
        <v>0.47</v>
      </c>
      <c r="C20" s="13">
        <v>0.36</v>
      </c>
      <c r="D20" s="13">
        <v>0.39</v>
      </c>
      <c r="E20" s="13">
        <v>0.39</v>
      </c>
      <c r="F20" s="13">
        <v>0.38</v>
      </c>
      <c r="G20" s="13">
        <v>0.39</v>
      </c>
      <c r="H20" s="13">
        <v>0.42</v>
      </c>
      <c r="I20" s="13">
        <v>0.42</v>
      </c>
      <c r="J20" s="13">
        <v>0.43</v>
      </c>
      <c r="K20" s="13">
        <v>0.44</v>
      </c>
      <c r="L20" s="13">
        <v>0.47</v>
      </c>
      <c r="M20" s="13">
        <v>0.46</v>
      </c>
      <c r="N20" s="13">
        <v>0.45</v>
      </c>
      <c r="O20" s="13">
        <v>0.5</v>
      </c>
      <c r="P20" s="13">
        <v>0.47</v>
      </c>
      <c r="Q20" s="13">
        <v>0.48</v>
      </c>
      <c r="R20" s="13">
        <v>0.49</v>
      </c>
      <c r="S20" s="13">
        <v>0.49</v>
      </c>
      <c r="T20" s="13">
        <v>0.49</v>
      </c>
      <c r="U20" s="13">
        <v>0.47</v>
      </c>
      <c r="V20" s="13">
        <v>0.47</v>
      </c>
      <c r="W20" s="13">
        <v>0.46</v>
      </c>
      <c r="Z20" s="5">
        <f t="shared" si="0"/>
        <v>0.44500000000000012</v>
      </c>
    </row>
    <row r="21" spans="1:26" ht="14.25" customHeight="1" x14ac:dyDescent="0.3">
      <c r="A21" s="3" t="s">
        <v>43</v>
      </c>
      <c r="B21" s="13">
        <v>0.62</v>
      </c>
      <c r="C21" s="13">
        <v>0.51</v>
      </c>
      <c r="D21" s="13">
        <v>0.45</v>
      </c>
      <c r="E21" s="13">
        <v>0.46</v>
      </c>
      <c r="F21" s="13">
        <v>0.45</v>
      </c>
      <c r="G21" s="13">
        <v>0.51</v>
      </c>
      <c r="H21" s="13">
        <v>0.51</v>
      </c>
      <c r="I21" s="13">
        <v>0.53</v>
      </c>
      <c r="J21" s="13">
        <v>0.52</v>
      </c>
      <c r="K21" s="13">
        <v>0.5</v>
      </c>
      <c r="L21" s="13">
        <v>0.52</v>
      </c>
      <c r="M21" s="13">
        <v>0.52</v>
      </c>
      <c r="N21" s="13">
        <v>0.52</v>
      </c>
      <c r="O21" s="13">
        <v>0.52</v>
      </c>
      <c r="P21" s="13">
        <v>0.52</v>
      </c>
      <c r="Q21" s="13">
        <v>0.52</v>
      </c>
      <c r="R21" s="13">
        <v>0.52</v>
      </c>
      <c r="S21" s="13">
        <v>0.5</v>
      </c>
      <c r="T21" s="13">
        <v>0.51</v>
      </c>
      <c r="U21" s="13">
        <v>0.51</v>
      </c>
      <c r="V21" s="13">
        <v>0.52</v>
      </c>
      <c r="W21" s="13">
        <v>0.52</v>
      </c>
      <c r="Z21" s="5">
        <f t="shared" si="0"/>
        <v>0.51181818181818162</v>
      </c>
    </row>
    <row r="22" spans="1:26" ht="14.25" customHeight="1" x14ac:dyDescent="0.3">
      <c r="A22" s="3" t="s">
        <v>45</v>
      </c>
      <c r="B22" s="13">
        <v>0.74</v>
      </c>
      <c r="C22" s="13">
        <v>0.56999999999999995</v>
      </c>
      <c r="D22" s="13">
        <v>0.61</v>
      </c>
      <c r="E22" s="13">
        <v>0.61</v>
      </c>
      <c r="F22" s="13">
        <v>0.61</v>
      </c>
      <c r="G22" s="13">
        <v>0.61</v>
      </c>
      <c r="H22" s="13">
        <v>0.6</v>
      </c>
      <c r="I22" s="13">
        <v>0.6</v>
      </c>
      <c r="J22" s="13">
        <v>0.6</v>
      </c>
      <c r="K22" s="13">
        <v>0.6</v>
      </c>
      <c r="L22" s="13">
        <v>0.6</v>
      </c>
      <c r="M22" s="13">
        <v>0.6</v>
      </c>
      <c r="N22" s="13">
        <v>0.6</v>
      </c>
      <c r="O22" s="13">
        <v>0.59</v>
      </c>
      <c r="P22" s="13">
        <v>0.59</v>
      </c>
      <c r="Q22" s="13">
        <v>0.61</v>
      </c>
      <c r="R22" s="13">
        <v>0.62</v>
      </c>
      <c r="S22" s="13">
        <v>0.6</v>
      </c>
      <c r="T22" s="13">
        <v>0.57999999999999996</v>
      </c>
      <c r="U22" s="13">
        <v>0.62</v>
      </c>
      <c r="V22" s="13">
        <v>0.61</v>
      </c>
      <c r="W22" s="13">
        <v>0.6</v>
      </c>
      <c r="Z22" s="5">
        <f t="shared" si="0"/>
        <v>0.60772727272727245</v>
      </c>
    </row>
    <row r="23" spans="1:26" ht="14.25" customHeight="1" x14ac:dyDescent="0.3">
      <c r="A23" s="3" t="s">
        <v>47</v>
      </c>
      <c r="B23" s="13">
        <v>0.49</v>
      </c>
      <c r="C23" s="13">
        <v>0.49</v>
      </c>
      <c r="D23" s="13">
        <v>0.51</v>
      </c>
      <c r="E23" s="13">
        <v>0.5</v>
      </c>
      <c r="F23" s="13">
        <v>0.5</v>
      </c>
      <c r="G23" s="13">
        <v>0.49</v>
      </c>
      <c r="H23" s="13">
        <v>0.49</v>
      </c>
      <c r="I23" s="13">
        <v>0.5</v>
      </c>
      <c r="J23" s="13">
        <v>0.47</v>
      </c>
      <c r="K23" s="13">
        <v>0.46</v>
      </c>
      <c r="L23" s="13">
        <v>0.46</v>
      </c>
      <c r="M23" s="13">
        <v>0.44</v>
      </c>
      <c r="N23" s="13">
        <v>0.49</v>
      </c>
      <c r="O23" s="13">
        <v>0.49</v>
      </c>
      <c r="P23" s="13">
        <v>0.49</v>
      </c>
      <c r="Q23" s="13">
        <v>0.48</v>
      </c>
      <c r="R23" s="13">
        <v>0.49</v>
      </c>
      <c r="S23" s="13">
        <v>0.49</v>
      </c>
      <c r="T23" s="13">
        <v>0.49</v>
      </c>
      <c r="U23" s="13">
        <v>0.51</v>
      </c>
      <c r="V23" s="13">
        <v>0.51</v>
      </c>
      <c r="W23" s="13">
        <v>0.53</v>
      </c>
      <c r="Z23" s="5">
        <f t="shared" si="0"/>
        <v>0.48954545454545462</v>
      </c>
    </row>
    <row r="24" spans="1:26" ht="14.25" customHeight="1" x14ac:dyDescent="0.3">
      <c r="A24" s="3" t="s">
        <v>49</v>
      </c>
      <c r="B24" s="13">
        <v>0.57999999999999996</v>
      </c>
      <c r="C24" s="13">
        <v>0.51</v>
      </c>
      <c r="D24" s="13">
        <v>0.56999999999999995</v>
      </c>
      <c r="E24" s="13">
        <v>0.55000000000000004</v>
      </c>
      <c r="F24" s="13">
        <v>0.52</v>
      </c>
      <c r="G24" s="13">
        <v>0.51</v>
      </c>
      <c r="H24" s="13">
        <v>0.52</v>
      </c>
      <c r="I24" s="13">
        <v>0.51</v>
      </c>
      <c r="J24" s="13">
        <v>0.51</v>
      </c>
      <c r="K24" s="13">
        <v>0.54</v>
      </c>
      <c r="L24" s="13">
        <v>0.52</v>
      </c>
      <c r="M24" s="13">
        <v>0.5</v>
      </c>
      <c r="N24" s="13">
        <v>0.49</v>
      </c>
      <c r="O24" s="13">
        <v>0.5</v>
      </c>
      <c r="P24" s="13">
        <v>0.5</v>
      </c>
      <c r="Q24" s="13">
        <v>0.56999999999999995</v>
      </c>
      <c r="R24" s="13">
        <v>0.55000000000000004</v>
      </c>
      <c r="S24" s="13">
        <v>0.53</v>
      </c>
      <c r="T24" s="13">
        <v>0.53</v>
      </c>
      <c r="U24" s="13">
        <v>0.53</v>
      </c>
      <c r="V24" s="13">
        <v>0.52</v>
      </c>
      <c r="W24" s="13">
        <v>0.51</v>
      </c>
      <c r="Z24" s="5">
        <f t="shared" si="0"/>
        <v>0.52590909090909088</v>
      </c>
    </row>
    <row r="25" spans="1:26" ht="14.25" customHeight="1" x14ac:dyDescent="0.3">
      <c r="A25" s="3" t="s">
        <v>103</v>
      </c>
      <c r="B25" s="13">
        <v>0.59</v>
      </c>
      <c r="C25" s="13">
        <v>0.56999999999999995</v>
      </c>
      <c r="D25" s="13">
        <v>0.56999999999999995</v>
      </c>
      <c r="E25" s="13">
        <v>0.56999999999999995</v>
      </c>
      <c r="F25" s="13">
        <v>0.56999999999999995</v>
      </c>
      <c r="G25" s="13">
        <v>0.56999999999999995</v>
      </c>
      <c r="H25" s="13">
        <v>0.56999999999999995</v>
      </c>
      <c r="I25" s="13">
        <v>0.6</v>
      </c>
      <c r="J25" s="13">
        <v>0.59</v>
      </c>
      <c r="K25" s="13">
        <v>0.6</v>
      </c>
      <c r="L25" s="13">
        <v>0.59</v>
      </c>
      <c r="M25" s="13">
        <v>0.59</v>
      </c>
      <c r="N25" s="13">
        <v>0.56999999999999995</v>
      </c>
      <c r="O25" s="13">
        <v>0.56000000000000005</v>
      </c>
      <c r="P25" s="13">
        <v>0.56000000000000005</v>
      </c>
      <c r="Q25" s="13">
        <v>0.56999999999999995</v>
      </c>
      <c r="R25" s="13">
        <v>0.56999999999999995</v>
      </c>
      <c r="S25" s="13">
        <v>0.55000000000000004</v>
      </c>
      <c r="T25" s="13">
        <v>0.54</v>
      </c>
      <c r="U25" s="13">
        <v>0.53</v>
      </c>
      <c r="V25" s="13">
        <v>0.52</v>
      </c>
      <c r="W25" s="13">
        <v>0.52</v>
      </c>
      <c r="Z25" s="5">
        <f t="shared" si="0"/>
        <v>0.56681818181818189</v>
      </c>
    </row>
    <row r="26" spans="1:26" ht="14.25" customHeight="1" x14ac:dyDescent="0.3">
      <c r="A26" s="3" t="s">
        <v>53</v>
      </c>
      <c r="B26" s="13">
        <v>0.66</v>
      </c>
      <c r="C26" s="13">
        <v>0.67</v>
      </c>
      <c r="D26" s="13">
        <v>0.61</v>
      </c>
      <c r="E26" s="13">
        <v>0.63</v>
      </c>
      <c r="F26" s="13">
        <v>0.63</v>
      </c>
      <c r="G26" s="13">
        <v>0.62</v>
      </c>
      <c r="H26" s="13">
        <v>0.62</v>
      </c>
      <c r="I26" s="13">
        <v>0.62</v>
      </c>
      <c r="J26" s="13">
        <v>0.62</v>
      </c>
      <c r="K26" s="13">
        <v>0.62</v>
      </c>
      <c r="L26" s="13">
        <v>0.65</v>
      </c>
      <c r="M26" s="13">
        <v>0.62</v>
      </c>
      <c r="N26" s="13">
        <v>0.57999999999999996</v>
      </c>
      <c r="O26" s="13">
        <v>0.56999999999999995</v>
      </c>
      <c r="P26" s="13">
        <v>0.62</v>
      </c>
      <c r="Q26" s="13">
        <v>0.62</v>
      </c>
      <c r="R26" s="13">
        <v>0.61</v>
      </c>
      <c r="S26" s="13">
        <v>0.62</v>
      </c>
      <c r="T26" s="13">
        <v>0.59</v>
      </c>
      <c r="U26" s="13">
        <v>0.66</v>
      </c>
      <c r="V26" s="13">
        <v>0.66</v>
      </c>
      <c r="W26" s="13">
        <v>0.61</v>
      </c>
      <c r="Z26" s="5">
        <f t="shared" si="0"/>
        <v>0.62318181818181806</v>
      </c>
    </row>
    <row r="27" spans="1:26" ht="14.25" customHeight="1" x14ac:dyDescent="0.3">
      <c r="A27" s="3" t="s">
        <v>55</v>
      </c>
      <c r="B27" s="13">
        <v>0.51</v>
      </c>
      <c r="C27" s="13">
        <v>0.56000000000000005</v>
      </c>
      <c r="D27" s="13">
        <v>0.52</v>
      </c>
      <c r="E27" s="13">
        <v>0.52</v>
      </c>
      <c r="F27" s="13">
        <v>0.55000000000000004</v>
      </c>
      <c r="G27" s="13">
        <v>0.55000000000000004</v>
      </c>
      <c r="H27" s="13">
        <v>0.57999999999999996</v>
      </c>
      <c r="I27" s="13">
        <v>0.61</v>
      </c>
      <c r="J27" s="13">
        <v>0.59</v>
      </c>
      <c r="K27" s="13">
        <v>0.59</v>
      </c>
      <c r="L27" s="13">
        <v>0.56999999999999995</v>
      </c>
      <c r="M27" s="13">
        <v>0.55000000000000004</v>
      </c>
      <c r="N27" s="13">
        <v>0.55000000000000004</v>
      </c>
      <c r="O27" s="13">
        <v>0.54</v>
      </c>
      <c r="P27" s="13">
        <v>0.56000000000000005</v>
      </c>
      <c r="Q27" s="13">
        <v>0.56000000000000005</v>
      </c>
      <c r="R27" s="13">
        <v>0.56000000000000005</v>
      </c>
      <c r="S27" s="13">
        <v>0.54</v>
      </c>
      <c r="T27" s="13">
        <v>0.56000000000000005</v>
      </c>
      <c r="U27" s="13">
        <v>0.56999999999999995</v>
      </c>
      <c r="V27" s="13">
        <v>0.56999999999999995</v>
      </c>
      <c r="W27" s="13">
        <v>0.56000000000000005</v>
      </c>
      <c r="Z27" s="5">
        <f t="shared" si="0"/>
        <v>0.55772727272727285</v>
      </c>
    </row>
    <row r="28" spans="1:26" ht="14.25" customHeight="1" x14ac:dyDescent="0.3">
      <c r="A28" s="3" t="s">
        <v>57</v>
      </c>
      <c r="B28" s="13">
        <v>0.65</v>
      </c>
      <c r="C28" s="13">
        <v>0.6</v>
      </c>
      <c r="D28" s="13">
        <v>0.51</v>
      </c>
      <c r="E28" s="13">
        <v>0.52</v>
      </c>
      <c r="F28" s="13">
        <v>0.56999999999999995</v>
      </c>
      <c r="G28" s="13">
        <v>0.59</v>
      </c>
      <c r="H28" s="13">
        <v>0.56999999999999995</v>
      </c>
      <c r="I28" s="13">
        <v>0.57999999999999996</v>
      </c>
      <c r="J28" s="13">
        <v>0.56999999999999995</v>
      </c>
      <c r="K28" s="13">
        <v>0.56999999999999995</v>
      </c>
      <c r="L28" s="13">
        <v>0.56999999999999995</v>
      </c>
      <c r="M28" s="13">
        <v>0.56000000000000005</v>
      </c>
      <c r="N28" s="13">
        <v>0.55000000000000004</v>
      </c>
      <c r="O28" s="13">
        <v>0.55000000000000004</v>
      </c>
      <c r="P28" s="13">
        <v>0.55000000000000004</v>
      </c>
      <c r="Q28" s="13">
        <v>0.56000000000000005</v>
      </c>
      <c r="R28" s="13">
        <v>0.56999999999999995</v>
      </c>
      <c r="S28" s="13">
        <v>0.55000000000000004</v>
      </c>
      <c r="T28" s="13">
        <v>0.54</v>
      </c>
      <c r="U28" s="13">
        <v>0.54</v>
      </c>
      <c r="V28" s="13">
        <v>0.53</v>
      </c>
      <c r="W28" s="13">
        <v>0.56000000000000005</v>
      </c>
      <c r="Z28" s="5">
        <f t="shared" si="0"/>
        <v>0.56181818181818199</v>
      </c>
    </row>
    <row r="29" spans="1:26" ht="14.25" customHeight="1" x14ac:dyDescent="0.3"/>
    <row r="30" spans="1:26" ht="14.25" customHeight="1" x14ac:dyDescent="0.3"/>
    <row r="31" spans="1:26" ht="14.25" customHeight="1" x14ac:dyDescent="0.3"/>
    <row r="32" spans="1:26" ht="14.25" customHeight="1" x14ac:dyDescent="0.3">
      <c r="A32" s="5">
        <v>1</v>
      </c>
    </row>
    <row r="33" spans="1:4" ht="14.25" customHeight="1" x14ac:dyDescent="0.3">
      <c r="A33" s="5">
        <v>2</v>
      </c>
    </row>
    <row r="34" spans="1:4" ht="14.25" customHeight="1" x14ac:dyDescent="0.3">
      <c r="A34" s="5">
        <v>3</v>
      </c>
    </row>
    <row r="35" spans="1:4" ht="14.25" customHeight="1" x14ac:dyDescent="0.3">
      <c r="A35" s="5">
        <v>4</v>
      </c>
    </row>
    <row r="36" spans="1:4" ht="14.25" customHeight="1" x14ac:dyDescent="0.3">
      <c r="A36" s="5">
        <v>5</v>
      </c>
    </row>
    <row r="37" spans="1:4" ht="14.25" customHeight="1" x14ac:dyDescent="0.3">
      <c r="A37" s="5">
        <v>6</v>
      </c>
    </row>
    <row r="38" spans="1:4" ht="14.25" customHeight="1" x14ac:dyDescent="0.3"/>
    <row r="39" spans="1:4" ht="14.25" customHeight="1" x14ac:dyDescent="0.3">
      <c r="D39" s="5"/>
    </row>
    <row r="40" spans="1:4" ht="14.25" customHeight="1" x14ac:dyDescent="0.3"/>
    <row r="41" spans="1:4" ht="14.25" customHeight="1" x14ac:dyDescent="0.3"/>
    <row r="42" spans="1:4" ht="14.25" customHeight="1" x14ac:dyDescent="0.3"/>
    <row r="43" spans="1:4" ht="14.25" customHeight="1" x14ac:dyDescent="0.3"/>
    <row r="44" spans="1:4" ht="14.25" customHeight="1" x14ac:dyDescent="0.3"/>
    <row r="45" spans="1:4" ht="14.25" customHeight="1" x14ac:dyDescent="0.3"/>
    <row r="46" spans="1:4" ht="14.25" customHeight="1" x14ac:dyDescent="0.3"/>
    <row r="47" spans="1:4" ht="14.25" customHeight="1" x14ac:dyDescent="0.3"/>
    <row r="48" spans="1:4"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sheetData>
  <mergeCells count="1">
    <mergeCell ref="W1:X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Z50"/>
  <sheetViews>
    <sheetView topLeftCell="B1" workbookViewId="0">
      <selection activeCell="C5" sqref="C5"/>
    </sheetView>
  </sheetViews>
  <sheetFormatPr defaultColWidth="14.44140625" defaultRowHeight="15" customHeight="1" x14ac:dyDescent="0.3"/>
  <sheetData>
    <row r="1" spans="1:156" ht="14.4" x14ac:dyDescent="0.3">
      <c r="A1" s="3" t="s">
        <v>110</v>
      </c>
      <c r="B1" s="3" t="s">
        <v>111</v>
      </c>
      <c r="C1" s="15" t="s">
        <v>112</v>
      </c>
      <c r="D1" s="3" t="s">
        <v>113</v>
      </c>
      <c r="E1" s="3" t="s">
        <v>114</v>
      </c>
      <c r="F1" s="3" t="s">
        <v>115</v>
      </c>
      <c r="G1" s="3" t="s">
        <v>116</v>
      </c>
      <c r="H1" s="3" t="s">
        <v>117</v>
      </c>
      <c r="I1" s="3" t="s">
        <v>118</v>
      </c>
      <c r="J1" s="15" t="s">
        <v>119</v>
      </c>
      <c r="K1" s="3" t="s">
        <v>120</v>
      </c>
      <c r="L1" s="3" t="s">
        <v>121</v>
      </c>
      <c r="M1" s="3" t="s">
        <v>122</v>
      </c>
      <c r="N1" s="3" t="s">
        <v>123</v>
      </c>
      <c r="O1" s="3" t="s">
        <v>124</v>
      </c>
      <c r="P1" s="3" t="s">
        <v>125</v>
      </c>
      <c r="Q1" s="15" t="s">
        <v>126</v>
      </c>
      <c r="R1" s="3" t="s">
        <v>127</v>
      </c>
      <c r="S1" s="3" t="s">
        <v>128</v>
      </c>
      <c r="T1" s="3" t="s">
        <v>129</v>
      </c>
      <c r="U1" s="3" t="s">
        <v>130</v>
      </c>
      <c r="V1" s="3" t="s">
        <v>131</v>
      </c>
      <c r="W1" s="3" t="s">
        <v>132</v>
      </c>
      <c r="X1" s="15" t="s">
        <v>133</v>
      </c>
      <c r="Y1" s="3" t="s">
        <v>134</v>
      </c>
      <c r="Z1" s="3" t="s">
        <v>135</v>
      </c>
      <c r="AA1" s="3" t="s">
        <v>136</v>
      </c>
      <c r="AB1" s="3" t="s">
        <v>137</v>
      </c>
      <c r="AC1" s="3" t="s">
        <v>138</v>
      </c>
      <c r="AD1" s="3" t="s">
        <v>139</v>
      </c>
      <c r="AE1" s="15" t="s">
        <v>140</v>
      </c>
      <c r="AF1" s="3" t="s">
        <v>141</v>
      </c>
      <c r="AG1" s="3" t="s">
        <v>142</v>
      </c>
      <c r="AH1" s="3" t="s">
        <v>143</v>
      </c>
      <c r="AI1" s="3" t="s">
        <v>144</v>
      </c>
      <c r="AJ1" s="3" t="s">
        <v>145</v>
      </c>
      <c r="AK1" s="3" t="s">
        <v>146</v>
      </c>
      <c r="AL1" s="15" t="s">
        <v>147</v>
      </c>
      <c r="AM1" s="3" t="s">
        <v>148</v>
      </c>
      <c r="AN1" s="3" t="s">
        <v>149</v>
      </c>
      <c r="AO1" s="3" t="s">
        <v>150</v>
      </c>
      <c r="AP1" s="3" t="s">
        <v>151</v>
      </c>
      <c r="AQ1" s="3" t="s">
        <v>152</v>
      </c>
      <c r="AR1" s="3" t="s">
        <v>153</v>
      </c>
      <c r="AS1" s="15" t="s">
        <v>154</v>
      </c>
      <c r="AT1" s="3" t="s">
        <v>155</v>
      </c>
      <c r="AU1" s="3" t="s">
        <v>156</v>
      </c>
      <c r="AV1" s="3" t="s">
        <v>157</v>
      </c>
      <c r="AW1" s="3" t="s">
        <v>158</v>
      </c>
      <c r="AX1" s="3" t="s">
        <v>159</v>
      </c>
      <c r="AY1" s="3" t="s">
        <v>160</v>
      </c>
      <c r="AZ1" s="15" t="s">
        <v>161</v>
      </c>
      <c r="BA1" s="3" t="s">
        <v>162</v>
      </c>
      <c r="BB1" s="3" t="s">
        <v>163</v>
      </c>
      <c r="BC1" s="3" t="s">
        <v>164</v>
      </c>
      <c r="BD1" s="3" t="s">
        <v>165</v>
      </c>
      <c r="BE1" s="3" t="s">
        <v>166</v>
      </c>
      <c r="BF1" s="3" t="s">
        <v>167</v>
      </c>
      <c r="BG1" s="15" t="s">
        <v>168</v>
      </c>
      <c r="BH1" s="3" t="s">
        <v>169</v>
      </c>
      <c r="BI1" s="3" t="s">
        <v>170</v>
      </c>
      <c r="BJ1" s="3" t="s">
        <v>171</v>
      </c>
      <c r="BK1" s="3" t="s">
        <v>172</v>
      </c>
      <c r="BL1" s="3" t="s">
        <v>173</v>
      </c>
      <c r="BM1" s="3" t="s">
        <v>174</v>
      </c>
      <c r="BN1" s="15" t="s">
        <v>175</v>
      </c>
      <c r="BO1" s="3" t="s">
        <v>176</v>
      </c>
      <c r="BP1" s="3" t="s">
        <v>177</v>
      </c>
      <c r="BQ1" s="3" t="s">
        <v>178</v>
      </c>
      <c r="BR1" s="3" t="s">
        <v>179</v>
      </c>
      <c r="BS1" s="3" t="s">
        <v>180</v>
      </c>
      <c r="BT1" s="3" t="s">
        <v>181</v>
      </c>
      <c r="BU1" s="15" t="s">
        <v>182</v>
      </c>
      <c r="BV1" s="3" t="s">
        <v>183</v>
      </c>
      <c r="BW1" s="3" t="s">
        <v>184</v>
      </c>
      <c r="BX1" s="3" t="s">
        <v>185</v>
      </c>
      <c r="BY1" s="3" t="s">
        <v>186</v>
      </c>
      <c r="BZ1" s="3" t="s">
        <v>187</v>
      </c>
      <c r="CA1" s="3" t="s">
        <v>188</v>
      </c>
      <c r="CB1" s="15" t="s">
        <v>189</v>
      </c>
      <c r="CC1" s="3" t="s">
        <v>190</v>
      </c>
      <c r="CD1" s="3" t="s">
        <v>191</v>
      </c>
      <c r="CE1" s="3" t="s">
        <v>192</v>
      </c>
      <c r="CF1" s="3" t="s">
        <v>193</v>
      </c>
      <c r="CG1" s="3" t="s">
        <v>194</v>
      </c>
      <c r="CH1" s="3" t="s">
        <v>195</v>
      </c>
      <c r="CI1" s="15" t="s">
        <v>196</v>
      </c>
      <c r="CJ1" s="3" t="s">
        <v>197</v>
      </c>
      <c r="CK1" s="3" t="s">
        <v>198</v>
      </c>
      <c r="CL1" s="3" t="s">
        <v>199</v>
      </c>
      <c r="CM1" s="3" t="s">
        <v>200</v>
      </c>
      <c r="CN1" s="3" t="s">
        <v>201</v>
      </c>
      <c r="CO1" s="3" t="s">
        <v>202</v>
      </c>
      <c r="CP1" s="15" t="s">
        <v>203</v>
      </c>
      <c r="CQ1" s="3" t="s">
        <v>204</v>
      </c>
      <c r="CR1" s="3" t="s">
        <v>205</v>
      </c>
      <c r="CS1" s="3" t="s">
        <v>206</v>
      </c>
      <c r="CT1" s="3" t="s">
        <v>207</v>
      </c>
      <c r="CU1" s="3" t="s">
        <v>208</v>
      </c>
      <c r="CV1" s="3" t="s">
        <v>209</v>
      </c>
      <c r="CW1" s="15" t="s">
        <v>210</v>
      </c>
      <c r="CX1" s="3" t="s">
        <v>211</v>
      </c>
      <c r="CY1" s="3" t="s">
        <v>212</v>
      </c>
      <c r="CZ1" s="3" t="s">
        <v>213</v>
      </c>
      <c r="DA1" s="3" t="s">
        <v>214</v>
      </c>
      <c r="DB1" s="3" t="s">
        <v>215</v>
      </c>
      <c r="DC1" s="3" t="s">
        <v>216</v>
      </c>
      <c r="DD1" s="15" t="s">
        <v>217</v>
      </c>
      <c r="DE1" s="3" t="s">
        <v>218</v>
      </c>
      <c r="DF1" s="3" t="s">
        <v>219</v>
      </c>
      <c r="DG1" s="3" t="s">
        <v>220</v>
      </c>
      <c r="DH1" s="3" t="s">
        <v>221</v>
      </c>
      <c r="DI1" s="3" t="s">
        <v>222</v>
      </c>
      <c r="DJ1" s="3" t="s">
        <v>223</v>
      </c>
      <c r="DK1" s="15" t="s">
        <v>224</v>
      </c>
      <c r="DL1" s="3" t="s">
        <v>225</v>
      </c>
      <c r="DM1" s="3" t="s">
        <v>226</v>
      </c>
      <c r="DN1" s="3" t="s">
        <v>227</v>
      </c>
      <c r="DO1" s="3" t="s">
        <v>228</v>
      </c>
      <c r="DP1" s="3" t="s">
        <v>229</v>
      </c>
      <c r="DQ1" s="3" t="s">
        <v>230</v>
      </c>
      <c r="DR1" s="15" t="s">
        <v>231</v>
      </c>
      <c r="DS1" s="3" t="s">
        <v>232</v>
      </c>
      <c r="DT1" s="3" t="s">
        <v>233</v>
      </c>
      <c r="DU1" s="3" t="s">
        <v>234</v>
      </c>
      <c r="DV1" s="3" t="s">
        <v>235</v>
      </c>
      <c r="DW1" s="3" t="s">
        <v>236</v>
      </c>
      <c r="DX1" s="3" t="s">
        <v>237</v>
      </c>
      <c r="DY1" s="15" t="s">
        <v>238</v>
      </c>
      <c r="DZ1" s="3" t="s">
        <v>239</v>
      </c>
      <c r="EA1" s="3" t="s">
        <v>240</v>
      </c>
      <c r="EB1" s="3" t="s">
        <v>241</v>
      </c>
      <c r="EC1" s="3" t="s">
        <v>242</v>
      </c>
      <c r="ED1" s="3" t="s">
        <v>243</v>
      </c>
      <c r="EE1" s="3" t="s">
        <v>244</v>
      </c>
      <c r="EF1" s="15" t="s">
        <v>245</v>
      </c>
      <c r="EG1" s="3" t="s">
        <v>246</v>
      </c>
      <c r="EH1" s="3" t="s">
        <v>247</v>
      </c>
      <c r="EI1" s="3" t="s">
        <v>248</v>
      </c>
      <c r="EJ1" s="3" t="s">
        <v>249</v>
      </c>
      <c r="EK1" s="3" t="s">
        <v>250</v>
      </c>
      <c r="EL1" s="3" t="s">
        <v>251</v>
      </c>
      <c r="EM1" s="15" t="s">
        <v>252</v>
      </c>
      <c r="EN1" s="3" t="s">
        <v>253</v>
      </c>
      <c r="EO1" s="3" t="s">
        <v>254</v>
      </c>
      <c r="EP1" s="3" t="s">
        <v>255</v>
      </c>
      <c r="EQ1" s="3" t="s">
        <v>256</v>
      </c>
      <c r="ER1" s="3" t="s">
        <v>257</v>
      </c>
      <c r="ES1" s="3" t="s">
        <v>258</v>
      </c>
      <c r="ET1" s="15" t="s">
        <v>259</v>
      </c>
      <c r="EU1" s="3" t="s">
        <v>260</v>
      </c>
      <c r="EV1" s="3" t="s">
        <v>261</v>
      </c>
      <c r="EW1" s="3" t="s">
        <v>262</v>
      </c>
      <c r="EX1" s="3" t="s">
        <v>263</v>
      </c>
      <c r="EY1" s="3" t="s">
        <v>264</v>
      </c>
      <c r="EZ1" s="3" t="s">
        <v>265</v>
      </c>
    </row>
    <row r="2" spans="1:156" ht="14.4" x14ac:dyDescent="0.3">
      <c r="A2" s="3" t="s">
        <v>5</v>
      </c>
      <c r="B2" s="3" t="s">
        <v>4</v>
      </c>
      <c r="C2" s="16">
        <v>0.49</v>
      </c>
      <c r="D2" s="13">
        <v>0.46</v>
      </c>
      <c r="E2" s="13">
        <v>0.66</v>
      </c>
      <c r="F2" s="13">
        <v>0.38</v>
      </c>
      <c r="G2" s="13">
        <v>0.68</v>
      </c>
      <c r="H2" s="13">
        <v>0.42</v>
      </c>
      <c r="I2" s="13">
        <v>0.33</v>
      </c>
      <c r="J2" s="16">
        <v>0.47</v>
      </c>
      <c r="K2" s="13">
        <v>0.46</v>
      </c>
      <c r="L2" s="13">
        <v>0.65</v>
      </c>
      <c r="M2" s="13">
        <v>0.38</v>
      </c>
      <c r="N2" s="13">
        <v>0.59</v>
      </c>
      <c r="O2" s="13">
        <v>0.42</v>
      </c>
      <c r="P2" s="13">
        <v>0.33</v>
      </c>
      <c r="Q2" s="16">
        <v>0.49</v>
      </c>
      <c r="R2" s="13">
        <v>0.38</v>
      </c>
      <c r="S2" s="13">
        <v>0.66</v>
      </c>
      <c r="T2" s="13">
        <v>0.38</v>
      </c>
      <c r="U2" s="13">
        <v>0.68</v>
      </c>
      <c r="V2" s="13">
        <v>0.42</v>
      </c>
      <c r="W2" s="13">
        <v>0.42</v>
      </c>
      <c r="X2" s="16">
        <v>0.45</v>
      </c>
      <c r="Y2" s="13">
        <v>0.38</v>
      </c>
      <c r="Z2" s="13">
        <v>0.67</v>
      </c>
      <c r="AA2" s="13">
        <v>0.38</v>
      </c>
      <c r="AB2" s="13">
        <v>0.64</v>
      </c>
      <c r="AC2" s="13">
        <v>0.42</v>
      </c>
      <c r="AD2" s="13">
        <v>0.25</v>
      </c>
      <c r="AE2" s="16">
        <v>0.41</v>
      </c>
      <c r="AF2" s="13">
        <v>0.38</v>
      </c>
      <c r="AG2" s="13">
        <v>0.65</v>
      </c>
      <c r="AH2" s="13">
        <v>0.38</v>
      </c>
      <c r="AI2" s="13">
        <v>0.45</v>
      </c>
      <c r="AJ2" s="13">
        <v>0.42</v>
      </c>
      <c r="AK2" s="13">
        <v>0.17</v>
      </c>
      <c r="AL2" s="16">
        <v>0.42</v>
      </c>
      <c r="AM2" s="13">
        <v>0.38</v>
      </c>
      <c r="AN2" s="13">
        <v>0.66</v>
      </c>
      <c r="AO2" s="13">
        <v>0.38</v>
      </c>
      <c r="AP2" s="13">
        <v>0.5</v>
      </c>
      <c r="AQ2" s="13">
        <v>0.42</v>
      </c>
      <c r="AR2" s="13">
        <v>0.17</v>
      </c>
      <c r="AS2" s="16">
        <v>0.41</v>
      </c>
      <c r="AT2" s="13">
        <v>0.38</v>
      </c>
      <c r="AU2" s="13">
        <v>0.65</v>
      </c>
      <c r="AV2" s="13">
        <v>0.38</v>
      </c>
      <c r="AW2" s="13">
        <v>0.5</v>
      </c>
      <c r="AX2" s="13">
        <v>0.42</v>
      </c>
      <c r="AY2" s="13">
        <v>0.17</v>
      </c>
      <c r="AZ2" s="16">
        <v>0.43</v>
      </c>
      <c r="BA2" s="13">
        <v>0.38</v>
      </c>
      <c r="BB2" s="13">
        <v>0.65</v>
      </c>
      <c r="BC2" s="13">
        <v>0.38</v>
      </c>
      <c r="BD2" s="13">
        <v>0.59</v>
      </c>
      <c r="BE2" s="13">
        <v>0.42</v>
      </c>
      <c r="BF2" s="13">
        <v>0.17</v>
      </c>
      <c r="BG2" s="16">
        <v>0.46</v>
      </c>
      <c r="BH2" s="13">
        <v>0.38</v>
      </c>
      <c r="BI2" s="13">
        <v>0.68</v>
      </c>
      <c r="BJ2" s="13">
        <v>0.38</v>
      </c>
      <c r="BK2" s="13">
        <v>0.64</v>
      </c>
      <c r="BL2" s="13">
        <v>0.42</v>
      </c>
      <c r="BM2" s="13">
        <v>0.25</v>
      </c>
      <c r="BN2" s="16">
        <v>0.45</v>
      </c>
      <c r="BO2" s="13">
        <v>0.38</v>
      </c>
      <c r="BP2" s="13">
        <v>0.69</v>
      </c>
      <c r="BQ2" s="13">
        <v>0.38</v>
      </c>
      <c r="BR2" s="13">
        <v>0.59</v>
      </c>
      <c r="BS2" s="13">
        <v>0.42</v>
      </c>
      <c r="BT2" s="13">
        <v>0.25</v>
      </c>
      <c r="BU2" s="16">
        <v>0.46</v>
      </c>
      <c r="BV2" s="13">
        <v>0.38</v>
      </c>
      <c r="BW2" s="13">
        <v>0.67</v>
      </c>
      <c r="BX2" s="13">
        <v>0.38</v>
      </c>
      <c r="BY2" s="13">
        <v>0.59</v>
      </c>
      <c r="BZ2" s="13">
        <v>0.42</v>
      </c>
      <c r="CA2" s="13">
        <v>0.33</v>
      </c>
      <c r="CB2" s="16">
        <v>0.48</v>
      </c>
      <c r="CC2" s="13">
        <v>0.33</v>
      </c>
      <c r="CD2" s="13">
        <v>0.73</v>
      </c>
      <c r="CE2" s="13">
        <v>0.38</v>
      </c>
      <c r="CF2" s="13">
        <v>0.64</v>
      </c>
      <c r="CG2" s="13">
        <v>0.5</v>
      </c>
      <c r="CH2" s="13">
        <v>0.33</v>
      </c>
      <c r="CI2" s="16">
        <v>0.49</v>
      </c>
      <c r="CJ2" s="13">
        <v>0.33</v>
      </c>
      <c r="CK2" s="13">
        <v>0.75</v>
      </c>
      <c r="CL2" s="13">
        <v>0.38</v>
      </c>
      <c r="CM2" s="13">
        <v>0.64</v>
      </c>
      <c r="CN2" s="13">
        <v>0.5</v>
      </c>
      <c r="CO2" s="13">
        <v>0.33</v>
      </c>
      <c r="CP2" s="16">
        <v>0.49</v>
      </c>
      <c r="CQ2" s="13">
        <v>0.33</v>
      </c>
      <c r="CR2" s="13">
        <v>0.75</v>
      </c>
      <c r="CS2" s="13">
        <v>0.38</v>
      </c>
      <c r="CT2" s="13">
        <v>0.64</v>
      </c>
      <c r="CU2" s="13">
        <v>0.5</v>
      </c>
      <c r="CV2" s="13">
        <v>0.33</v>
      </c>
      <c r="CW2" s="16">
        <v>0.48</v>
      </c>
      <c r="CX2" s="13">
        <v>0.33</v>
      </c>
      <c r="CY2" s="13">
        <v>0.73</v>
      </c>
      <c r="CZ2" s="13">
        <v>0.38</v>
      </c>
      <c r="DA2" s="13">
        <v>0.64</v>
      </c>
      <c r="DB2" s="13">
        <v>0.5</v>
      </c>
      <c r="DC2" s="13">
        <v>0.33</v>
      </c>
      <c r="DD2" s="16">
        <v>0.47</v>
      </c>
      <c r="DE2" s="13">
        <v>0.33</v>
      </c>
      <c r="DF2" s="13">
        <v>0.74</v>
      </c>
      <c r="DG2" s="13">
        <v>0.25</v>
      </c>
      <c r="DH2" s="13">
        <v>0.64</v>
      </c>
      <c r="DI2" s="13">
        <v>0.5</v>
      </c>
      <c r="DJ2" s="13">
        <v>0.33</v>
      </c>
      <c r="DK2" s="16">
        <v>0.46</v>
      </c>
      <c r="DL2" s="13">
        <v>0.33</v>
      </c>
      <c r="DM2" s="13">
        <v>0.73</v>
      </c>
      <c r="DN2" s="13">
        <v>0.25</v>
      </c>
      <c r="DO2" s="13">
        <v>0.59</v>
      </c>
      <c r="DP2" s="13">
        <v>0.5</v>
      </c>
      <c r="DQ2" s="13">
        <v>0.33</v>
      </c>
      <c r="DR2" s="16">
        <v>0.46</v>
      </c>
      <c r="DS2" s="13">
        <v>0.33</v>
      </c>
      <c r="DT2" s="13">
        <v>0.72</v>
      </c>
      <c r="DU2" s="13">
        <v>0.25</v>
      </c>
      <c r="DV2" s="13">
        <v>0.64</v>
      </c>
      <c r="DW2" s="13">
        <v>0.5</v>
      </c>
      <c r="DX2" s="13">
        <v>0.33</v>
      </c>
      <c r="DY2" s="16">
        <v>0.48</v>
      </c>
      <c r="DZ2" s="13">
        <v>0.42</v>
      </c>
      <c r="EA2" s="13">
        <v>0.74</v>
      </c>
      <c r="EB2" s="13">
        <v>0.25</v>
      </c>
      <c r="EC2" s="13">
        <v>0.64</v>
      </c>
      <c r="ED2" s="13">
        <v>0.5</v>
      </c>
      <c r="EE2" s="13">
        <v>0.33</v>
      </c>
      <c r="EF2" s="16">
        <v>0.46</v>
      </c>
      <c r="EG2" s="13">
        <v>0.33</v>
      </c>
      <c r="EH2" s="13">
        <v>0.67</v>
      </c>
      <c r="EI2" s="13">
        <v>0.25</v>
      </c>
      <c r="EJ2" s="13">
        <v>0.68</v>
      </c>
      <c r="EK2" s="13">
        <v>0.5</v>
      </c>
      <c r="EL2" s="13">
        <v>0.33</v>
      </c>
      <c r="EM2" s="16">
        <v>0.36</v>
      </c>
      <c r="EN2" s="13">
        <v>0.33</v>
      </c>
      <c r="EO2" s="13">
        <v>0.65</v>
      </c>
      <c r="EP2" s="13">
        <v>0.25</v>
      </c>
      <c r="EQ2" s="13">
        <v>0.09</v>
      </c>
      <c r="ER2" s="13">
        <v>0.5</v>
      </c>
      <c r="ES2" s="13">
        <v>0.33</v>
      </c>
      <c r="ET2" s="16">
        <v>0.38</v>
      </c>
      <c r="EU2" s="13">
        <v>0.42</v>
      </c>
      <c r="EV2" s="13">
        <v>0.51</v>
      </c>
      <c r="EW2" s="13">
        <v>0.25</v>
      </c>
      <c r="EX2" s="13">
        <v>0.27</v>
      </c>
      <c r="EY2" s="13">
        <v>0.5</v>
      </c>
      <c r="EZ2" s="13">
        <v>0.33</v>
      </c>
    </row>
    <row r="3" spans="1:156" ht="14.4" x14ac:dyDescent="0.3">
      <c r="A3" s="3" t="s">
        <v>8</v>
      </c>
      <c r="B3" s="3" t="s">
        <v>7</v>
      </c>
      <c r="C3" s="16">
        <v>0.51</v>
      </c>
      <c r="D3" s="13">
        <v>0.54</v>
      </c>
      <c r="E3" s="13">
        <v>0.56999999999999995</v>
      </c>
      <c r="F3" s="13">
        <v>0.63</v>
      </c>
      <c r="G3" s="13">
        <v>0.55000000000000004</v>
      </c>
      <c r="H3" s="13">
        <v>0.33</v>
      </c>
      <c r="I3" s="13">
        <v>0.42</v>
      </c>
      <c r="J3" s="16">
        <v>0.49</v>
      </c>
      <c r="K3" s="13">
        <v>0.54</v>
      </c>
      <c r="L3" s="13">
        <v>0.57999999999999996</v>
      </c>
      <c r="M3" s="13">
        <v>0.5</v>
      </c>
      <c r="N3" s="13">
        <v>0.59</v>
      </c>
      <c r="O3" s="13">
        <v>0.33</v>
      </c>
      <c r="P3" s="13">
        <v>0.42</v>
      </c>
      <c r="Q3" s="16">
        <v>0.49</v>
      </c>
      <c r="R3" s="13">
        <v>0.54</v>
      </c>
      <c r="S3" s="13">
        <v>0.6</v>
      </c>
      <c r="T3" s="13">
        <v>0.5</v>
      </c>
      <c r="U3" s="13">
        <v>0.55000000000000004</v>
      </c>
      <c r="V3" s="13">
        <v>0.33</v>
      </c>
      <c r="W3" s="13">
        <v>0.42</v>
      </c>
      <c r="X3" s="16">
        <v>0.48</v>
      </c>
      <c r="Y3" s="13">
        <v>0.54</v>
      </c>
      <c r="Z3" s="13">
        <v>0.55000000000000004</v>
      </c>
      <c r="AA3" s="13">
        <v>0.5</v>
      </c>
      <c r="AB3" s="13">
        <v>0.55000000000000004</v>
      </c>
      <c r="AC3" s="13">
        <v>0.33</v>
      </c>
      <c r="AD3" s="13">
        <v>0.42</v>
      </c>
      <c r="AE3" s="16">
        <v>0.48</v>
      </c>
      <c r="AF3" s="13">
        <v>0.54</v>
      </c>
      <c r="AG3" s="13">
        <v>0.56000000000000005</v>
      </c>
      <c r="AH3" s="13">
        <v>0.5</v>
      </c>
      <c r="AI3" s="13">
        <v>0.55000000000000004</v>
      </c>
      <c r="AJ3" s="13">
        <v>0.33</v>
      </c>
      <c r="AK3" s="13">
        <v>0.42</v>
      </c>
      <c r="AL3" s="16">
        <v>0.49</v>
      </c>
      <c r="AM3" s="13">
        <v>0.5</v>
      </c>
      <c r="AN3" s="13">
        <v>0.57999999999999996</v>
      </c>
      <c r="AO3" s="13">
        <v>0.5</v>
      </c>
      <c r="AP3" s="13">
        <v>0.5</v>
      </c>
      <c r="AQ3" s="13">
        <v>0.33</v>
      </c>
      <c r="AR3" s="13">
        <v>0.5</v>
      </c>
      <c r="AS3" s="16">
        <v>0.5</v>
      </c>
      <c r="AT3" s="13">
        <v>0.5</v>
      </c>
      <c r="AU3" s="13">
        <v>0.57999999999999996</v>
      </c>
      <c r="AV3" s="13">
        <v>0.5</v>
      </c>
      <c r="AW3" s="13">
        <v>0.59</v>
      </c>
      <c r="AX3" s="13">
        <v>0.33</v>
      </c>
      <c r="AY3" s="13">
        <v>0.5</v>
      </c>
      <c r="AZ3" s="16">
        <v>0.48</v>
      </c>
      <c r="BA3" s="13">
        <v>0.5</v>
      </c>
      <c r="BB3" s="13">
        <v>0.56000000000000005</v>
      </c>
      <c r="BC3" s="13">
        <v>0.5</v>
      </c>
      <c r="BD3" s="13">
        <v>0.5</v>
      </c>
      <c r="BE3" s="13">
        <v>0.33</v>
      </c>
      <c r="BF3" s="13">
        <v>0.5</v>
      </c>
      <c r="BG3" s="16">
        <v>0.47</v>
      </c>
      <c r="BH3" s="13">
        <v>0.5</v>
      </c>
      <c r="BI3" s="13">
        <v>0.52</v>
      </c>
      <c r="BJ3" s="13">
        <v>0.5</v>
      </c>
      <c r="BK3" s="13">
        <v>0.45</v>
      </c>
      <c r="BL3" s="13">
        <v>0.33</v>
      </c>
      <c r="BM3" s="13">
        <v>0.5</v>
      </c>
      <c r="BN3" s="16">
        <v>0.47</v>
      </c>
      <c r="BO3" s="13">
        <v>0.5</v>
      </c>
      <c r="BP3" s="13">
        <v>0.55000000000000004</v>
      </c>
      <c r="BQ3" s="13">
        <v>0.5</v>
      </c>
      <c r="BR3" s="13">
        <v>0.45</v>
      </c>
      <c r="BS3" s="13">
        <v>0.33</v>
      </c>
      <c r="BT3" s="13">
        <v>0.5</v>
      </c>
      <c r="BU3" s="16">
        <v>0.47</v>
      </c>
      <c r="BV3" s="13">
        <v>0.5</v>
      </c>
      <c r="BW3" s="13">
        <v>0.55000000000000004</v>
      </c>
      <c r="BX3" s="13">
        <v>0.5</v>
      </c>
      <c r="BY3" s="13">
        <v>0.45</v>
      </c>
      <c r="BZ3" s="13">
        <v>0.33</v>
      </c>
      <c r="CA3" s="13">
        <v>0.5</v>
      </c>
      <c r="CB3" s="16">
        <v>0.49</v>
      </c>
      <c r="CC3" s="13">
        <v>0.5</v>
      </c>
      <c r="CD3" s="13">
        <v>0.57999999999999996</v>
      </c>
      <c r="CE3" s="13">
        <v>0.5</v>
      </c>
      <c r="CF3" s="13">
        <v>0.55000000000000004</v>
      </c>
      <c r="CG3" s="13">
        <v>0.33</v>
      </c>
      <c r="CH3" s="13">
        <v>0.5</v>
      </c>
      <c r="CI3" s="16">
        <v>0.52</v>
      </c>
      <c r="CJ3" s="13">
        <v>0.54</v>
      </c>
      <c r="CK3" s="13">
        <v>0.62</v>
      </c>
      <c r="CL3" s="13">
        <v>0.5</v>
      </c>
      <c r="CM3" s="13">
        <v>0.55000000000000004</v>
      </c>
      <c r="CN3" s="13">
        <v>0.42</v>
      </c>
      <c r="CO3" s="13">
        <v>0.5</v>
      </c>
      <c r="CP3" s="16">
        <v>0.46</v>
      </c>
      <c r="CQ3" s="13">
        <v>0.33</v>
      </c>
      <c r="CR3" s="13">
        <v>0.56999999999999995</v>
      </c>
      <c r="CS3" s="13">
        <v>0.5</v>
      </c>
      <c r="CT3" s="13">
        <v>0.55000000000000004</v>
      </c>
      <c r="CU3" s="13">
        <v>0.42</v>
      </c>
      <c r="CV3" s="13">
        <v>0.42</v>
      </c>
      <c r="CW3" s="16">
        <v>0.47</v>
      </c>
      <c r="CX3" s="13">
        <v>0.38</v>
      </c>
      <c r="CY3" s="13">
        <v>0.55000000000000004</v>
      </c>
      <c r="CZ3" s="13">
        <v>0.5</v>
      </c>
      <c r="DA3" s="13">
        <v>0.55000000000000004</v>
      </c>
      <c r="DB3" s="13">
        <v>0.42</v>
      </c>
      <c r="DC3" s="13">
        <v>0.42</v>
      </c>
      <c r="DD3" s="16">
        <v>0.45</v>
      </c>
      <c r="DE3" s="13">
        <v>0.46</v>
      </c>
      <c r="DF3" s="13">
        <v>0.56000000000000005</v>
      </c>
      <c r="DG3" s="13">
        <v>0.5</v>
      </c>
      <c r="DH3" s="13">
        <v>0.5</v>
      </c>
      <c r="DI3" s="13">
        <v>0.42</v>
      </c>
      <c r="DJ3" s="13">
        <v>0.25</v>
      </c>
      <c r="DK3" s="16">
        <v>0.47</v>
      </c>
      <c r="DL3" s="13">
        <v>0.5</v>
      </c>
      <c r="DM3" s="13">
        <v>0.59</v>
      </c>
      <c r="DN3" s="13">
        <v>0.5</v>
      </c>
      <c r="DO3" s="13">
        <v>0.55000000000000004</v>
      </c>
      <c r="DP3" s="13">
        <v>0.42</v>
      </c>
      <c r="DQ3" s="13">
        <v>0.25</v>
      </c>
      <c r="DR3" s="16">
        <v>0.42</v>
      </c>
      <c r="DS3" s="13">
        <v>0.46</v>
      </c>
      <c r="DT3" s="13">
        <v>0.57999999999999996</v>
      </c>
      <c r="DU3" s="13">
        <v>0.5</v>
      </c>
      <c r="DV3" s="13">
        <v>0.5</v>
      </c>
      <c r="DW3" s="13">
        <v>0.25</v>
      </c>
      <c r="DX3" s="13">
        <v>0.25</v>
      </c>
      <c r="DY3" s="16">
        <v>0.4</v>
      </c>
      <c r="DZ3" s="13">
        <v>0.42</v>
      </c>
      <c r="EA3" s="13">
        <v>0.63</v>
      </c>
      <c r="EB3" s="13">
        <v>0.5</v>
      </c>
      <c r="EC3" s="13">
        <v>0.5</v>
      </c>
      <c r="ED3" s="13">
        <v>0.17</v>
      </c>
      <c r="EE3" s="13">
        <v>0.17</v>
      </c>
      <c r="EF3" s="16">
        <v>0.4</v>
      </c>
      <c r="EG3" s="13">
        <v>0.46</v>
      </c>
      <c r="EH3" s="13">
        <v>0.68</v>
      </c>
      <c r="EI3" s="13">
        <v>0.5</v>
      </c>
      <c r="EJ3" s="13">
        <v>0.36</v>
      </c>
      <c r="EK3" s="13">
        <v>0.25</v>
      </c>
      <c r="EL3" s="13">
        <v>0.17</v>
      </c>
      <c r="EM3" s="16">
        <v>0.5</v>
      </c>
      <c r="EN3" s="13">
        <v>0.67</v>
      </c>
      <c r="EO3" s="13">
        <v>0.73</v>
      </c>
      <c r="EP3" s="13">
        <v>0.5</v>
      </c>
      <c r="EQ3" s="13">
        <v>0.45</v>
      </c>
      <c r="ER3" s="13">
        <v>0.33</v>
      </c>
      <c r="ES3" s="13">
        <v>0.33</v>
      </c>
      <c r="ET3" s="16">
        <v>0.55000000000000004</v>
      </c>
      <c r="EU3" s="13">
        <v>0.67</v>
      </c>
      <c r="EV3" s="13">
        <v>0.82</v>
      </c>
      <c r="EW3" s="13">
        <v>0.5</v>
      </c>
      <c r="EX3" s="13">
        <v>0.45</v>
      </c>
      <c r="EY3" s="13">
        <v>0.5</v>
      </c>
      <c r="EZ3" s="13">
        <v>0.33</v>
      </c>
    </row>
    <row r="4" spans="1:156" ht="14.4" x14ac:dyDescent="0.3">
      <c r="A4" s="3" t="s">
        <v>10</v>
      </c>
      <c r="B4" s="3" t="s">
        <v>9</v>
      </c>
      <c r="C4" s="16">
        <v>0.47</v>
      </c>
      <c r="D4" s="13">
        <v>0.46</v>
      </c>
      <c r="E4" s="13">
        <v>0.63</v>
      </c>
      <c r="F4" s="13">
        <v>0.63</v>
      </c>
      <c r="G4" s="13">
        <v>0.5</v>
      </c>
      <c r="H4" s="13">
        <v>0.33</v>
      </c>
      <c r="I4" s="13">
        <v>0.25</v>
      </c>
      <c r="J4" s="16">
        <v>0.48</v>
      </c>
      <c r="K4" s="13">
        <v>0.46</v>
      </c>
      <c r="L4" s="13">
        <v>0.66</v>
      </c>
      <c r="M4" s="13">
        <v>0.63</v>
      </c>
      <c r="N4" s="13">
        <v>0.5</v>
      </c>
      <c r="O4" s="13">
        <v>0.33</v>
      </c>
      <c r="P4" s="13">
        <v>0.33</v>
      </c>
      <c r="Q4" s="16">
        <v>0.49</v>
      </c>
      <c r="R4" s="13">
        <v>0.46</v>
      </c>
      <c r="S4" s="13">
        <v>0.6</v>
      </c>
      <c r="T4" s="13">
        <v>0.63</v>
      </c>
      <c r="U4" s="13">
        <v>0.5</v>
      </c>
      <c r="V4" s="13">
        <v>0.42</v>
      </c>
      <c r="W4" s="13">
        <v>0.33</v>
      </c>
      <c r="X4" s="16">
        <v>0.5</v>
      </c>
      <c r="Y4" s="13">
        <v>0.54</v>
      </c>
      <c r="Z4" s="13">
        <v>0.59</v>
      </c>
      <c r="AA4" s="13">
        <v>0.63</v>
      </c>
      <c r="AB4" s="13">
        <v>0.5</v>
      </c>
      <c r="AC4" s="13">
        <v>0.42</v>
      </c>
      <c r="AD4" s="13">
        <v>0.33</v>
      </c>
      <c r="AE4" s="16">
        <v>0.51</v>
      </c>
      <c r="AF4" s="13">
        <v>0.54</v>
      </c>
      <c r="AG4" s="13">
        <v>0.61</v>
      </c>
      <c r="AH4" s="13">
        <v>0.63</v>
      </c>
      <c r="AI4" s="13">
        <v>0.5</v>
      </c>
      <c r="AJ4" s="13">
        <v>0.42</v>
      </c>
      <c r="AK4" s="13">
        <v>0.33</v>
      </c>
      <c r="AL4" s="16">
        <v>0.5</v>
      </c>
      <c r="AM4" s="13">
        <v>0.54</v>
      </c>
      <c r="AN4" s="13">
        <v>0.61</v>
      </c>
      <c r="AO4" s="13">
        <v>0.63</v>
      </c>
      <c r="AP4" s="13">
        <v>0.45</v>
      </c>
      <c r="AQ4" s="13">
        <v>0.42</v>
      </c>
      <c r="AR4" s="13">
        <v>0.33</v>
      </c>
      <c r="AS4" s="16">
        <v>0.51</v>
      </c>
      <c r="AT4" s="13">
        <v>0.54</v>
      </c>
      <c r="AU4" s="13">
        <v>0.65</v>
      </c>
      <c r="AV4" s="13">
        <v>0.63</v>
      </c>
      <c r="AW4" s="13">
        <v>0.5</v>
      </c>
      <c r="AX4" s="13">
        <v>0.42</v>
      </c>
      <c r="AY4" s="13">
        <v>0.33</v>
      </c>
      <c r="AZ4" s="16">
        <v>0.52</v>
      </c>
      <c r="BA4" s="13">
        <v>0.54</v>
      </c>
      <c r="BB4" s="13">
        <v>0.7</v>
      </c>
      <c r="BC4" s="13">
        <v>0.63</v>
      </c>
      <c r="BD4" s="13">
        <v>0.5</v>
      </c>
      <c r="BE4" s="13">
        <v>0.42</v>
      </c>
      <c r="BF4" s="13">
        <v>0.33</v>
      </c>
      <c r="BG4" s="16">
        <v>0.49</v>
      </c>
      <c r="BH4" s="13">
        <v>0.54</v>
      </c>
      <c r="BI4" s="13">
        <v>0.65</v>
      </c>
      <c r="BJ4" s="13">
        <v>0.63</v>
      </c>
      <c r="BK4" s="13">
        <v>0.36</v>
      </c>
      <c r="BL4" s="13">
        <v>0.42</v>
      </c>
      <c r="BM4" s="13">
        <v>0.33</v>
      </c>
      <c r="BN4" s="16">
        <v>0.45</v>
      </c>
      <c r="BO4" s="13">
        <v>0.54</v>
      </c>
      <c r="BP4" s="13">
        <v>0.64</v>
      </c>
      <c r="BQ4" s="13">
        <v>0.5</v>
      </c>
      <c r="BR4" s="13">
        <v>0.36</v>
      </c>
      <c r="BS4" s="13">
        <v>0.42</v>
      </c>
      <c r="BT4" s="13">
        <v>0.25</v>
      </c>
      <c r="BU4" s="16">
        <v>0.47</v>
      </c>
      <c r="BV4" s="13">
        <v>0.54</v>
      </c>
      <c r="BW4" s="13">
        <v>0.64</v>
      </c>
      <c r="BX4" s="13">
        <v>0.5</v>
      </c>
      <c r="BY4" s="13">
        <v>0.36</v>
      </c>
      <c r="BZ4" s="13">
        <v>0.42</v>
      </c>
      <c r="CA4" s="13">
        <v>0.33</v>
      </c>
      <c r="CB4" s="16">
        <v>0.47</v>
      </c>
      <c r="CC4" s="13">
        <v>0.54</v>
      </c>
      <c r="CD4" s="13">
        <v>0.68</v>
      </c>
      <c r="CE4" s="13">
        <v>0.5</v>
      </c>
      <c r="CF4" s="13">
        <v>0.36</v>
      </c>
      <c r="CG4" s="13">
        <v>0.42</v>
      </c>
      <c r="CH4" s="13">
        <v>0.33</v>
      </c>
      <c r="CI4" s="16">
        <v>0.48</v>
      </c>
      <c r="CJ4" s="13">
        <v>0.57999999999999996</v>
      </c>
      <c r="CK4" s="13">
        <v>0.7</v>
      </c>
      <c r="CL4" s="13">
        <v>0.5</v>
      </c>
      <c r="CM4" s="13">
        <v>0.36</v>
      </c>
      <c r="CN4" s="13">
        <v>0.42</v>
      </c>
      <c r="CO4" s="13">
        <v>0.33</v>
      </c>
      <c r="CP4" s="16">
        <v>0.51</v>
      </c>
      <c r="CQ4" s="13">
        <v>0.67</v>
      </c>
      <c r="CR4" s="13">
        <v>0.68</v>
      </c>
      <c r="CS4" s="13">
        <v>0.5</v>
      </c>
      <c r="CT4" s="13">
        <v>0.36</v>
      </c>
      <c r="CU4" s="13">
        <v>0.5</v>
      </c>
      <c r="CV4" s="13">
        <v>0.33</v>
      </c>
      <c r="CW4" s="16">
        <v>0.47</v>
      </c>
      <c r="CX4" s="13">
        <v>0.67</v>
      </c>
      <c r="CY4" s="13">
        <v>0.66</v>
      </c>
      <c r="CZ4" s="13">
        <v>0.5</v>
      </c>
      <c r="DA4" s="13">
        <v>0.18</v>
      </c>
      <c r="DB4" s="13">
        <v>0.5</v>
      </c>
      <c r="DC4" s="13">
        <v>0.33</v>
      </c>
      <c r="DD4" s="16">
        <v>0.48</v>
      </c>
      <c r="DE4" s="13">
        <v>0.75</v>
      </c>
      <c r="DF4" s="13">
        <v>0.6</v>
      </c>
      <c r="DG4" s="13">
        <v>0.5</v>
      </c>
      <c r="DH4" s="13">
        <v>0.18</v>
      </c>
      <c r="DI4" s="13">
        <v>0.5</v>
      </c>
      <c r="DJ4" s="13">
        <v>0.33</v>
      </c>
      <c r="DK4" s="16">
        <v>0.5</v>
      </c>
      <c r="DL4" s="13">
        <v>0.57999999999999996</v>
      </c>
      <c r="DM4" s="13">
        <v>0.56000000000000005</v>
      </c>
      <c r="DN4" s="13">
        <v>0.5</v>
      </c>
      <c r="DO4" s="13">
        <v>0.5</v>
      </c>
      <c r="DP4" s="13">
        <v>0.5</v>
      </c>
      <c r="DQ4" s="13">
        <v>0.33</v>
      </c>
      <c r="DR4" s="16">
        <v>0.52</v>
      </c>
      <c r="DS4" s="13">
        <v>0.57999999999999996</v>
      </c>
      <c r="DT4" s="13">
        <v>0.61</v>
      </c>
      <c r="DU4" s="13">
        <v>0.5</v>
      </c>
      <c r="DV4" s="13">
        <v>0.59</v>
      </c>
      <c r="DW4" s="13">
        <v>0.5</v>
      </c>
      <c r="DX4" s="13">
        <v>0.33</v>
      </c>
      <c r="DY4" s="16">
        <v>0.56999999999999995</v>
      </c>
      <c r="DZ4" s="13">
        <v>0.57999999999999996</v>
      </c>
      <c r="EA4" s="13">
        <v>0.7</v>
      </c>
      <c r="EB4" s="13">
        <v>0.5</v>
      </c>
      <c r="EC4" s="13">
        <v>0.77</v>
      </c>
      <c r="ED4" s="13">
        <v>0.5</v>
      </c>
      <c r="EE4" s="13">
        <v>0.33</v>
      </c>
      <c r="EF4" s="16">
        <v>0.56000000000000005</v>
      </c>
      <c r="EG4" s="13">
        <v>0.57999999999999996</v>
      </c>
      <c r="EH4" s="13">
        <v>0.67</v>
      </c>
      <c r="EI4" s="13">
        <v>0.5</v>
      </c>
      <c r="EJ4" s="13">
        <v>0.77</v>
      </c>
      <c r="EK4" s="13">
        <v>0.5</v>
      </c>
      <c r="EL4" s="13">
        <v>0.33</v>
      </c>
      <c r="EM4" s="16">
        <v>0.61</v>
      </c>
      <c r="EN4" s="13">
        <v>0.57999999999999996</v>
      </c>
      <c r="EO4" s="13">
        <v>0.76</v>
      </c>
      <c r="EP4" s="13">
        <v>0.5</v>
      </c>
      <c r="EQ4" s="13">
        <v>0.82</v>
      </c>
      <c r="ER4" s="13">
        <v>0.5</v>
      </c>
      <c r="ES4" s="13">
        <v>0.5</v>
      </c>
      <c r="ET4" s="16">
        <v>0.6</v>
      </c>
      <c r="EU4" s="13">
        <v>0.57999999999999996</v>
      </c>
      <c r="EV4" s="13">
        <v>0.67</v>
      </c>
      <c r="EW4" s="13">
        <v>0.5</v>
      </c>
      <c r="EX4" s="13">
        <v>0.82</v>
      </c>
      <c r="EY4" s="13">
        <v>0.5</v>
      </c>
      <c r="EZ4" s="13">
        <v>0.5</v>
      </c>
    </row>
    <row r="5" spans="1:156" ht="19.5" customHeight="1" x14ac:dyDescent="0.3">
      <c r="A5" s="3" t="s">
        <v>12</v>
      </c>
      <c r="B5" s="3" t="s">
        <v>11</v>
      </c>
      <c r="C5" s="16">
        <v>0.41</v>
      </c>
      <c r="D5" s="13">
        <v>0.38</v>
      </c>
      <c r="E5" s="13">
        <v>0.56000000000000005</v>
      </c>
      <c r="F5" s="13">
        <v>0.38</v>
      </c>
      <c r="G5" s="13">
        <v>0.55000000000000004</v>
      </c>
      <c r="H5" s="13">
        <v>0.33</v>
      </c>
      <c r="I5" s="13">
        <v>0.25</v>
      </c>
      <c r="J5" s="16">
        <v>0.42</v>
      </c>
      <c r="K5" s="13">
        <v>0.38</v>
      </c>
      <c r="L5" s="13">
        <v>0.55000000000000004</v>
      </c>
      <c r="M5" s="13">
        <v>0.38</v>
      </c>
      <c r="N5" s="13">
        <v>0.64</v>
      </c>
      <c r="O5" s="13">
        <v>0.33</v>
      </c>
      <c r="P5" s="13">
        <v>0.25</v>
      </c>
      <c r="Q5" s="16">
        <v>0.41</v>
      </c>
      <c r="R5" s="13">
        <v>0.38</v>
      </c>
      <c r="S5" s="13">
        <v>0.56999999999999995</v>
      </c>
      <c r="T5" s="13">
        <v>0.38</v>
      </c>
      <c r="U5" s="13">
        <v>0.55000000000000004</v>
      </c>
      <c r="V5" s="13">
        <v>0.33</v>
      </c>
      <c r="W5" s="13">
        <v>0.25</v>
      </c>
      <c r="X5" s="16">
        <v>0.42</v>
      </c>
      <c r="Y5" s="13">
        <v>0.42</v>
      </c>
      <c r="Z5" s="13">
        <v>0.57999999999999996</v>
      </c>
      <c r="AA5" s="13">
        <v>0.38</v>
      </c>
      <c r="AB5" s="13">
        <v>0.55000000000000004</v>
      </c>
      <c r="AC5" s="13">
        <v>0.33</v>
      </c>
      <c r="AD5" s="13">
        <v>0.25</v>
      </c>
      <c r="AE5" s="16">
        <v>0.41</v>
      </c>
      <c r="AF5" s="13">
        <v>0.42</v>
      </c>
      <c r="AG5" s="13">
        <v>0.56999999999999995</v>
      </c>
      <c r="AH5" s="13">
        <v>0.38</v>
      </c>
      <c r="AI5" s="13">
        <v>0.55000000000000004</v>
      </c>
      <c r="AJ5" s="13">
        <v>0.33</v>
      </c>
      <c r="AK5" s="13">
        <v>0.25</v>
      </c>
      <c r="AL5" s="16">
        <v>0.45</v>
      </c>
      <c r="AM5" s="13">
        <v>0.42</v>
      </c>
      <c r="AN5" s="13">
        <v>0.61</v>
      </c>
      <c r="AO5" s="13">
        <v>0.38</v>
      </c>
      <c r="AP5" s="13">
        <v>0.64</v>
      </c>
      <c r="AQ5" s="13">
        <v>0.33</v>
      </c>
      <c r="AR5" s="13">
        <v>0.33</v>
      </c>
      <c r="AS5" s="16">
        <v>0.45</v>
      </c>
      <c r="AT5" s="13">
        <v>0.42</v>
      </c>
      <c r="AU5" s="13">
        <v>0.63</v>
      </c>
      <c r="AV5" s="13">
        <v>0.38</v>
      </c>
      <c r="AW5" s="13">
        <v>0.64</v>
      </c>
      <c r="AX5" s="13">
        <v>0.33</v>
      </c>
      <c r="AY5" s="13">
        <v>0.33</v>
      </c>
      <c r="AZ5" s="16">
        <v>0.45</v>
      </c>
      <c r="BA5" s="13">
        <v>0.42</v>
      </c>
      <c r="BB5" s="13">
        <v>0.63</v>
      </c>
      <c r="BC5" s="13">
        <v>0.38</v>
      </c>
      <c r="BD5" s="13">
        <v>0.64</v>
      </c>
      <c r="BE5" s="13">
        <v>0.33</v>
      </c>
      <c r="BF5" s="13">
        <v>0.33</v>
      </c>
      <c r="BG5" s="16">
        <v>0.47</v>
      </c>
      <c r="BH5" s="13">
        <v>0.42</v>
      </c>
      <c r="BI5" s="13">
        <v>0.71</v>
      </c>
      <c r="BJ5" s="13">
        <v>0.38</v>
      </c>
      <c r="BK5" s="13">
        <v>0.64</v>
      </c>
      <c r="BL5" s="13">
        <v>0.33</v>
      </c>
      <c r="BM5" s="13">
        <v>0.33</v>
      </c>
      <c r="BN5" s="16">
        <v>0.47</v>
      </c>
      <c r="BO5" s="13">
        <v>0.46</v>
      </c>
      <c r="BP5" s="13">
        <v>0.7</v>
      </c>
      <c r="BQ5" s="13">
        <v>0.38</v>
      </c>
      <c r="BR5" s="13">
        <v>0.59</v>
      </c>
      <c r="BS5" s="13">
        <v>0.33</v>
      </c>
      <c r="BT5" s="13">
        <v>0.33</v>
      </c>
      <c r="BU5" s="16">
        <v>0.48</v>
      </c>
      <c r="BV5" s="13">
        <v>0.46</v>
      </c>
      <c r="BW5" s="13">
        <v>0.71</v>
      </c>
      <c r="BX5" s="13">
        <v>0.38</v>
      </c>
      <c r="BY5" s="13">
        <v>0.59</v>
      </c>
      <c r="BZ5" s="13">
        <v>0.33</v>
      </c>
      <c r="CA5" s="13">
        <v>0.42</v>
      </c>
      <c r="CB5" s="16">
        <v>0.52</v>
      </c>
      <c r="CC5" s="13">
        <v>0.5</v>
      </c>
      <c r="CD5" s="13">
        <v>0.75</v>
      </c>
      <c r="CE5" s="13">
        <v>0.38</v>
      </c>
      <c r="CF5" s="13">
        <v>0.73</v>
      </c>
      <c r="CG5" s="13">
        <v>0.33</v>
      </c>
      <c r="CH5" s="13">
        <v>0.42</v>
      </c>
      <c r="CI5" s="16">
        <v>0.55000000000000004</v>
      </c>
      <c r="CJ5" s="13">
        <v>0.5</v>
      </c>
      <c r="CK5" s="13">
        <v>0.79</v>
      </c>
      <c r="CL5" s="13">
        <v>0.38</v>
      </c>
      <c r="CM5" s="13">
        <v>0.73</v>
      </c>
      <c r="CN5" s="13">
        <v>0.33</v>
      </c>
      <c r="CO5" s="13">
        <v>0.57999999999999996</v>
      </c>
      <c r="CP5" s="16">
        <v>0.56999999999999995</v>
      </c>
      <c r="CQ5" s="13">
        <v>0.54</v>
      </c>
      <c r="CR5" s="13">
        <v>0.79</v>
      </c>
      <c r="CS5" s="13">
        <v>0.38</v>
      </c>
      <c r="CT5" s="13">
        <v>0.73</v>
      </c>
      <c r="CU5" s="13">
        <v>0.33</v>
      </c>
      <c r="CV5" s="13">
        <v>0.67</v>
      </c>
      <c r="CW5" s="16">
        <v>0.55000000000000004</v>
      </c>
      <c r="CX5" s="13">
        <v>0.63</v>
      </c>
      <c r="CY5" s="13">
        <v>0.79</v>
      </c>
      <c r="CZ5" s="13">
        <v>0.25</v>
      </c>
      <c r="DA5" s="13">
        <v>0.73</v>
      </c>
      <c r="DB5" s="13">
        <v>0.33</v>
      </c>
      <c r="DC5" s="13">
        <v>0.57999999999999996</v>
      </c>
      <c r="DD5" s="16">
        <v>0.54</v>
      </c>
      <c r="DE5" s="13">
        <v>0.63</v>
      </c>
      <c r="DF5" s="13">
        <v>0.78</v>
      </c>
      <c r="DG5" s="13">
        <v>0.25</v>
      </c>
      <c r="DH5" s="13">
        <v>0.68</v>
      </c>
      <c r="DI5" s="13">
        <v>0.42</v>
      </c>
      <c r="DJ5" s="13">
        <v>0.5</v>
      </c>
      <c r="DK5" s="16">
        <v>0.49</v>
      </c>
      <c r="DL5" s="13">
        <v>0.63</v>
      </c>
      <c r="DM5" s="13">
        <v>0.79</v>
      </c>
      <c r="DN5" s="13">
        <v>0.25</v>
      </c>
      <c r="DO5" s="13">
        <v>0.64</v>
      </c>
      <c r="DP5" s="13">
        <v>0.33</v>
      </c>
      <c r="DQ5" s="13">
        <v>0.33</v>
      </c>
      <c r="DR5" s="16">
        <v>0.47</v>
      </c>
      <c r="DS5" s="13">
        <v>0.63</v>
      </c>
      <c r="DT5" s="13">
        <v>0.64</v>
      </c>
      <c r="DU5" s="13">
        <v>0.25</v>
      </c>
      <c r="DV5" s="13">
        <v>0.64</v>
      </c>
      <c r="DW5" s="13">
        <v>0.33</v>
      </c>
      <c r="DX5" s="13">
        <v>0.33</v>
      </c>
      <c r="DY5" s="16">
        <v>0.42</v>
      </c>
      <c r="DZ5" s="13">
        <v>0.5</v>
      </c>
      <c r="EA5" s="13">
        <v>0.63</v>
      </c>
      <c r="EB5" s="13">
        <v>0.25</v>
      </c>
      <c r="EC5" s="13">
        <v>0.5</v>
      </c>
      <c r="ED5" s="13">
        <v>0.33</v>
      </c>
      <c r="EE5" s="13">
        <v>0.33</v>
      </c>
      <c r="EF5" s="16">
        <v>0.43</v>
      </c>
      <c r="EG5" s="13">
        <v>0.5</v>
      </c>
      <c r="EH5" s="13">
        <v>0.65</v>
      </c>
      <c r="EI5" s="13">
        <v>0.25</v>
      </c>
      <c r="EJ5" s="13">
        <v>0.5</v>
      </c>
      <c r="EK5" s="13">
        <v>0.33</v>
      </c>
      <c r="EL5" s="13">
        <v>0.33</v>
      </c>
      <c r="EM5" s="16">
        <v>0.45</v>
      </c>
      <c r="EN5" s="13">
        <v>0.5</v>
      </c>
      <c r="EO5" s="13">
        <v>0.63</v>
      </c>
      <c r="EP5" s="13">
        <v>0.25</v>
      </c>
      <c r="EQ5" s="13">
        <v>0.64</v>
      </c>
      <c r="ER5" s="13">
        <v>0.33</v>
      </c>
      <c r="ES5" s="13">
        <v>0.33</v>
      </c>
      <c r="ET5" s="16">
        <v>0.48</v>
      </c>
      <c r="EU5" s="13">
        <v>0.5</v>
      </c>
      <c r="EV5" s="13">
        <v>0.65</v>
      </c>
      <c r="EW5" s="13">
        <v>0.25</v>
      </c>
      <c r="EX5" s="13">
        <v>0.64</v>
      </c>
      <c r="EY5" s="13">
        <v>0.5</v>
      </c>
      <c r="EZ5" s="13">
        <v>0.33</v>
      </c>
    </row>
    <row r="6" spans="1:156" ht="14.4" x14ac:dyDescent="0.3">
      <c r="A6" s="3" t="s">
        <v>14</v>
      </c>
      <c r="B6" s="3" t="s">
        <v>101</v>
      </c>
      <c r="C6" s="16">
        <v>0.42</v>
      </c>
      <c r="D6" s="13">
        <v>0.46</v>
      </c>
      <c r="E6" s="13">
        <v>0.75</v>
      </c>
      <c r="F6" s="13">
        <v>0.25</v>
      </c>
      <c r="G6" s="13">
        <v>0.59</v>
      </c>
      <c r="H6" s="13">
        <v>0.33</v>
      </c>
      <c r="I6" s="13">
        <v>0.17</v>
      </c>
      <c r="J6" s="16">
        <v>0.41</v>
      </c>
      <c r="K6" s="13">
        <v>0.46</v>
      </c>
      <c r="L6" s="13">
        <v>0.73</v>
      </c>
      <c r="M6" s="13">
        <v>0.25</v>
      </c>
      <c r="N6" s="13">
        <v>0.5</v>
      </c>
      <c r="O6" s="13">
        <v>0.33</v>
      </c>
      <c r="P6" s="13">
        <v>0.17</v>
      </c>
      <c r="Q6" s="16">
        <v>0.43</v>
      </c>
      <c r="R6" s="13">
        <v>0.46</v>
      </c>
      <c r="S6" s="13">
        <v>0.72</v>
      </c>
      <c r="T6" s="13">
        <v>0.25</v>
      </c>
      <c r="U6" s="13">
        <v>0.64</v>
      </c>
      <c r="V6" s="13">
        <v>0.33</v>
      </c>
      <c r="W6" s="13">
        <v>0.17</v>
      </c>
      <c r="X6" s="16">
        <v>0.4</v>
      </c>
      <c r="Y6" s="13">
        <v>0.46</v>
      </c>
      <c r="Z6" s="13">
        <v>0.71</v>
      </c>
      <c r="AA6" s="13">
        <v>0.25</v>
      </c>
      <c r="AB6" s="13">
        <v>0.5</v>
      </c>
      <c r="AC6" s="13">
        <v>0.33</v>
      </c>
      <c r="AD6" s="13">
        <v>0.17</v>
      </c>
      <c r="AE6" s="16">
        <v>0.39</v>
      </c>
      <c r="AF6" s="13">
        <v>0.46</v>
      </c>
      <c r="AG6" s="13">
        <v>0.7</v>
      </c>
      <c r="AH6" s="13">
        <v>0.25</v>
      </c>
      <c r="AI6" s="13">
        <v>0.45</v>
      </c>
      <c r="AJ6" s="13">
        <v>0.33</v>
      </c>
      <c r="AK6" s="13">
        <v>0.17</v>
      </c>
      <c r="AL6" s="16">
        <v>0.43</v>
      </c>
      <c r="AM6" s="13">
        <v>0.5</v>
      </c>
      <c r="AN6" s="13">
        <v>0.7</v>
      </c>
      <c r="AO6" s="13">
        <v>0.25</v>
      </c>
      <c r="AP6" s="13">
        <v>0.55000000000000004</v>
      </c>
      <c r="AQ6" s="13">
        <v>0.33</v>
      </c>
      <c r="AR6" s="13">
        <v>0.25</v>
      </c>
      <c r="AS6" s="16">
        <v>0.46</v>
      </c>
      <c r="AT6" s="13">
        <v>0.5</v>
      </c>
      <c r="AU6" s="13">
        <v>0.73</v>
      </c>
      <c r="AV6" s="13">
        <v>0.25</v>
      </c>
      <c r="AW6" s="13">
        <v>0.68</v>
      </c>
      <c r="AX6" s="13">
        <v>0.33</v>
      </c>
      <c r="AY6" s="13">
        <v>0.25</v>
      </c>
      <c r="AZ6" s="16">
        <v>0.42</v>
      </c>
      <c r="BA6" s="13">
        <v>0.25</v>
      </c>
      <c r="BB6" s="13">
        <v>0.73</v>
      </c>
      <c r="BC6" s="13">
        <v>0.25</v>
      </c>
      <c r="BD6" s="13">
        <v>0.68</v>
      </c>
      <c r="BE6" s="13">
        <v>0.33</v>
      </c>
      <c r="BF6" s="13">
        <v>0.25</v>
      </c>
      <c r="BG6" s="16">
        <v>0.42</v>
      </c>
      <c r="BH6" s="13">
        <v>0.25</v>
      </c>
      <c r="BI6" s="13">
        <v>0.73</v>
      </c>
      <c r="BJ6" s="13">
        <v>0.25</v>
      </c>
      <c r="BK6" s="13">
        <v>0.68</v>
      </c>
      <c r="BL6" s="13">
        <v>0.33</v>
      </c>
      <c r="BM6" s="13">
        <v>0.25</v>
      </c>
      <c r="BN6" s="16">
        <v>0.42</v>
      </c>
      <c r="BO6" s="13">
        <v>0.25</v>
      </c>
      <c r="BP6" s="13">
        <v>0.73</v>
      </c>
      <c r="BQ6" s="13">
        <v>0.25</v>
      </c>
      <c r="BR6" s="13">
        <v>0.68</v>
      </c>
      <c r="BS6" s="13">
        <v>0.33</v>
      </c>
      <c r="BT6" s="13">
        <v>0.25</v>
      </c>
      <c r="BU6" s="16">
        <v>0.43</v>
      </c>
      <c r="BV6" s="13">
        <v>0.25</v>
      </c>
      <c r="BW6" s="13">
        <v>0.72</v>
      </c>
      <c r="BX6" s="13">
        <v>0.25</v>
      </c>
      <c r="BY6" s="13">
        <v>0.68</v>
      </c>
      <c r="BZ6" s="13">
        <v>0.33</v>
      </c>
      <c r="CA6" s="13">
        <v>0.33</v>
      </c>
      <c r="CB6" s="16">
        <v>0.43</v>
      </c>
      <c r="CC6" s="13">
        <v>0.25</v>
      </c>
      <c r="CD6" s="13">
        <v>0.76</v>
      </c>
      <c r="CE6" s="13">
        <v>0.25</v>
      </c>
      <c r="CF6" s="13">
        <v>0.68</v>
      </c>
      <c r="CG6" s="13">
        <v>0.33</v>
      </c>
      <c r="CH6" s="13">
        <v>0.33</v>
      </c>
      <c r="CI6" s="16">
        <v>0.43</v>
      </c>
      <c r="CJ6" s="13">
        <v>0.25</v>
      </c>
      <c r="CK6" s="13">
        <v>0.76</v>
      </c>
      <c r="CL6" s="13">
        <v>0.25</v>
      </c>
      <c r="CM6" s="13">
        <v>0.68</v>
      </c>
      <c r="CN6" s="13">
        <v>0.33</v>
      </c>
      <c r="CO6" s="13">
        <v>0.33</v>
      </c>
      <c r="CP6" s="16">
        <v>0.44</v>
      </c>
      <c r="CQ6" s="13">
        <v>0.25</v>
      </c>
      <c r="CR6" s="13">
        <v>0.76</v>
      </c>
      <c r="CS6" s="13">
        <v>0.25</v>
      </c>
      <c r="CT6" s="13">
        <v>0.73</v>
      </c>
      <c r="CU6" s="13">
        <v>0.33</v>
      </c>
      <c r="CV6" s="13">
        <v>0.33</v>
      </c>
      <c r="CW6" s="16">
        <v>0.44</v>
      </c>
      <c r="CX6" s="13">
        <v>0.25</v>
      </c>
      <c r="CY6" s="13">
        <v>0.73</v>
      </c>
      <c r="CZ6" s="13">
        <v>0.25</v>
      </c>
      <c r="DA6" s="13">
        <v>0.73</v>
      </c>
      <c r="DB6" s="13">
        <v>0.33</v>
      </c>
      <c r="DC6" s="13">
        <v>0.33</v>
      </c>
      <c r="DD6" s="16">
        <v>0.44</v>
      </c>
      <c r="DE6" s="13">
        <v>0.25</v>
      </c>
      <c r="DF6" s="13">
        <v>0.76</v>
      </c>
      <c r="DG6" s="13">
        <v>0.25</v>
      </c>
      <c r="DH6" s="13">
        <v>0.73</v>
      </c>
      <c r="DI6" s="13">
        <v>0.33</v>
      </c>
      <c r="DJ6" s="13">
        <v>0.33</v>
      </c>
      <c r="DK6" s="16">
        <v>0.43</v>
      </c>
      <c r="DL6" s="13">
        <v>0.25</v>
      </c>
      <c r="DM6" s="13">
        <v>0.76</v>
      </c>
      <c r="DN6" s="13">
        <v>0.25</v>
      </c>
      <c r="DO6" s="13">
        <v>0.68</v>
      </c>
      <c r="DP6" s="13">
        <v>0.33</v>
      </c>
      <c r="DQ6" s="13">
        <v>0.33</v>
      </c>
      <c r="DR6" s="16">
        <v>0.43</v>
      </c>
      <c r="DS6" s="13">
        <v>0.25</v>
      </c>
      <c r="DT6" s="13">
        <v>0.8</v>
      </c>
      <c r="DU6" s="13">
        <v>0.25</v>
      </c>
      <c r="DV6" s="13">
        <v>0.59</v>
      </c>
      <c r="DW6" s="13">
        <v>0.33</v>
      </c>
      <c r="DX6" s="13">
        <v>0.33</v>
      </c>
      <c r="DY6" s="16">
        <v>0.42</v>
      </c>
      <c r="DZ6" s="13">
        <v>0.25</v>
      </c>
      <c r="EA6" s="13">
        <v>0.79</v>
      </c>
      <c r="EB6" s="13">
        <v>0.25</v>
      </c>
      <c r="EC6" s="13">
        <v>0.59</v>
      </c>
      <c r="ED6" s="13">
        <v>0.33</v>
      </c>
      <c r="EE6" s="13">
        <v>0.33</v>
      </c>
      <c r="EF6" s="16">
        <v>0.43</v>
      </c>
      <c r="EG6" s="13">
        <v>0.25</v>
      </c>
      <c r="EH6" s="13">
        <v>0.76</v>
      </c>
      <c r="EI6" s="13">
        <v>0.25</v>
      </c>
      <c r="EJ6" s="13">
        <v>0.68</v>
      </c>
      <c r="EK6" s="13">
        <v>0.33</v>
      </c>
      <c r="EL6" s="13">
        <v>0.33</v>
      </c>
      <c r="EM6" s="16">
        <v>0.42</v>
      </c>
      <c r="EN6" s="13">
        <v>0.08</v>
      </c>
      <c r="EO6" s="13">
        <v>0.76</v>
      </c>
      <c r="EP6" s="13">
        <v>0.25</v>
      </c>
      <c r="EQ6" s="13">
        <v>0.45</v>
      </c>
      <c r="ER6" s="13">
        <v>0.33</v>
      </c>
      <c r="ES6" s="13">
        <v>0.67</v>
      </c>
      <c r="ET6" s="16">
        <v>0.35</v>
      </c>
      <c r="EU6" s="13">
        <v>0.08</v>
      </c>
      <c r="EV6" s="13">
        <v>0.67</v>
      </c>
      <c r="EW6" s="13">
        <v>0.25</v>
      </c>
      <c r="EX6" s="13">
        <v>0.27</v>
      </c>
      <c r="EY6" s="13">
        <v>0.17</v>
      </c>
      <c r="EZ6" s="13">
        <v>0.67</v>
      </c>
    </row>
    <row r="7" spans="1:156" ht="14.4" x14ac:dyDescent="0.3">
      <c r="A7" s="3" t="s">
        <v>16</v>
      </c>
      <c r="B7" s="3" t="s">
        <v>15</v>
      </c>
      <c r="C7" s="16">
        <v>0.43</v>
      </c>
      <c r="D7" s="13">
        <v>0.54</v>
      </c>
      <c r="E7" s="13">
        <v>0.62</v>
      </c>
      <c r="F7" s="13">
        <v>0</v>
      </c>
      <c r="G7" s="13">
        <v>0.59</v>
      </c>
      <c r="H7" s="13">
        <v>0.42</v>
      </c>
      <c r="I7" s="13">
        <v>0.42</v>
      </c>
      <c r="J7" s="16">
        <v>0.39</v>
      </c>
      <c r="K7" s="13">
        <v>0.5</v>
      </c>
      <c r="L7" s="13">
        <v>0.56999999999999995</v>
      </c>
      <c r="M7" s="13">
        <v>0</v>
      </c>
      <c r="N7" s="13">
        <v>0.55000000000000004</v>
      </c>
      <c r="O7" s="13">
        <v>0.42</v>
      </c>
      <c r="P7" s="13">
        <v>0.33</v>
      </c>
      <c r="Q7" s="16">
        <v>0.41</v>
      </c>
      <c r="R7" s="13">
        <v>0.54</v>
      </c>
      <c r="S7" s="13">
        <v>0.55000000000000004</v>
      </c>
      <c r="T7" s="13">
        <v>0</v>
      </c>
      <c r="U7" s="13">
        <v>0.64</v>
      </c>
      <c r="V7" s="13">
        <v>0.42</v>
      </c>
      <c r="W7" s="13">
        <v>0.33</v>
      </c>
      <c r="X7" s="16">
        <v>0.41</v>
      </c>
      <c r="Y7" s="13">
        <v>0.57999999999999996</v>
      </c>
      <c r="Z7" s="13">
        <v>0.54</v>
      </c>
      <c r="AA7" s="13">
        <v>0</v>
      </c>
      <c r="AB7" s="13">
        <v>0.59</v>
      </c>
      <c r="AC7" s="13">
        <v>0.42</v>
      </c>
      <c r="AD7" s="13">
        <v>0.33</v>
      </c>
      <c r="AE7" s="16">
        <v>0.41</v>
      </c>
      <c r="AF7" s="13">
        <v>0.54</v>
      </c>
      <c r="AG7" s="13">
        <v>0.56000000000000005</v>
      </c>
      <c r="AH7" s="13">
        <v>0</v>
      </c>
      <c r="AI7" s="13">
        <v>0.59</v>
      </c>
      <c r="AJ7" s="13">
        <v>0.42</v>
      </c>
      <c r="AK7" s="13">
        <v>0.33</v>
      </c>
      <c r="AL7" s="16">
        <v>0.41</v>
      </c>
      <c r="AM7" s="13">
        <v>0.5</v>
      </c>
      <c r="AN7" s="13">
        <v>0.56999999999999995</v>
      </c>
      <c r="AO7" s="13">
        <v>0</v>
      </c>
      <c r="AP7" s="13">
        <v>0.64</v>
      </c>
      <c r="AQ7" s="13">
        <v>0.42</v>
      </c>
      <c r="AR7" s="13">
        <v>0.33</v>
      </c>
      <c r="AS7" s="16">
        <v>0.39</v>
      </c>
      <c r="AT7" s="13">
        <v>0.38</v>
      </c>
      <c r="AU7" s="13">
        <v>0.59</v>
      </c>
      <c r="AV7" s="13">
        <v>0</v>
      </c>
      <c r="AW7" s="13">
        <v>0.64</v>
      </c>
      <c r="AX7" s="13">
        <v>0.42</v>
      </c>
      <c r="AY7" s="13">
        <v>0.33</v>
      </c>
      <c r="AZ7" s="16">
        <v>0.39</v>
      </c>
      <c r="BA7" s="13">
        <v>0.38</v>
      </c>
      <c r="BB7" s="13">
        <v>0.59</v>
      </c>
      <c r="BC7" s="13">
        <v>0</v>
      </c>
      <c r="BD7" s="13">
        <v>0.64</v>
      </c>
      <c r="BE7" s="13">
        <v>0.42</v>
      </c>
      <c r="BF7" s="13">
        <v>0.33</v>
      </c>
      <c r="BG7" s="16">
        <v>0.37</v>
      </c>
      <c r="BH7" s="13">
        <v>0.38</v>
      </c>
      <c r="BI7" s="13">
        <v>0.56000000000000005</v>
      </c>
      <c r="BJ7" s="13">
        <v>0</v>
      </c>
      <c r="BK7" s="13">
        <v>0.59</v>
      </c>
      <c r="BL7" s="13">
        <v>0.42</v>
      </c>
      <c r="BM7" s="13">
        <v>0.25</v>
      </c>
      <c r="BN7" s="16">
        <v>0.37</v>
      </c>
      <c r="BO7" s="13">
        <v>0.38</v>
      </c>
      <c r="BP7" s="13">
        <v>0.52</v>
      </c>
      <c r="BQ7" s="13">
        <v>0</v>
      </c>
      <c r="BR7" s="13">
        <v>0.64</v>
      </c>
      <c r="BS7" s="13">
        <v>0.42</v>
      </c>
      <c r="BT7" s="13">
        <v>0.25</v>
      </c>
      <c r="BU7" s="16">
        <v>0.37</v>
      </c>
      <c r="BV7" s="13">
        <v>0.38</v>
      </c>
      <c r="BW7" s="13">
        <v>0.59</v>
      </c>
      <c r="BX7" s="13">
        <v>0</v>
      </c>
      <c r="BY7" s="13">
        <v>0.5</v>
      </c>
      <c r="BZ7" s="13">
        <v>0.42</v>
      </c>
      <c r="CA7" s="13">
        <v>0.33</v>
      </c>
      <c r="CB7" s="16">
        <v>0.34</v>
      </c>
      <c r="CC7" s="13">
        <v>0.38</v>
      </c>
      <c r="CD7" s="13">
        <v>0.54</v>
      </c>
      <c r="CE7" s="13">
        <v>0</v>
      </c>
      <c r="CF7" s="13">
        <v>0.36</v>
      </c>
      <c r="CG7" s="13">
        <v>0.42</v>
      </c>
      <c r="CH7" s="13">
        <v>0.33</v>
      </c>
      <c r="CI7" s="16">
        <v>0.34</v>
      </c>
      <c r="CJ7" s="13">
        <v>0.28999999999999998</v>
      </c>
      <c r="CK7" s="13">
        <v>0.55000000000000004</v>
      </c>
      <c r="CL7" s="13">
        <v>0</v>
      </c>
      <c r="CM7" s="13">
        <v>0.36</v>
      </c>
      <c r="CN7" s="13">
        <v>0.42</v>
      </c>
      <c r="CO7" s="13">
        <v>0.42</v>
      </c>
      <c r="CP7" s="16">
        <v>0.34</v>
      </c>
      <c r="CQ7" s="13">
        <v>0.28999999999999998</v>
      </c>
      <c r="CR7" s="13">
        <v>0.56999999999999995</v>
      </c>
      <c r="CS7" s="13">
        <v>0</v>
      </c>
      <c r="CT7" s="13">
        <v>0.36</v>
      </c>
      <c r="CU7" s="13">
        <v>0.42</v>
      </c>
      <c r="CV7" s="13">
        <v>0.42</v>
      </c>
      <c r="CW7" s="16">
        <v>0.33</v>
      </c>
      <c r="CX7" s="13">
        <v>0.28999999999999998</v>
      </c>
      <c r="CY7" s="13">
        <v>0.57999999999999996</v>
      </c>
      <c r="CZ7" s="13">
        <v>0</v>
      </c>
      <c r="DA7" s="13">
        <v>0.36</v>
      </c>
      <c r="DB7" s="13">
        <v>0.42</v>
      </c>
      <c r="DC7" s="13">
        <v>0.33</v>
      </c>
      <c r="DD7" s="16">
        <v>0.31</v>
      </c>
      <c r="DE7" s="13">
        <v>0.28999999999999998</v>
      </c>
      <c r="DF7" s="13">
        <v>0.56000000000000005</v>
      </c>
      <c r="DG7" s="13">
        <v>0</v>
      </c>
      <c r="DH7" s="13">
        <v>0.36</v>
      </c>
      <c r="DI7" s="13">
        <v>0.42</v>
      </c>
      <c r="DJ7" s="13">
        <v>0.25</v>
      </c>
      <c r="DK7" s="16">
        <v>0.28999999999999998</v>
      </c>
      <c r="DL7" s="13">
        <v>0.25</v>
      </c>
      <c r="DM7" s="13">
        <v>0.47</v>
      </c>
      <c r="DN7" s="13">
        <v>0</v>
      </c>
      <c r="DO7" s="13">
        <v>0.36</v>
      </c>
      <c r="DP7" s="13">
        <v>0.42</v>
      </c>
      <c r="DQ7" s="13">
        <v>0.25</v>
      </c>
      <c r="DR7" s="16">
        <v>0.32</v>
      </c>
      <c r="DS7" s="13">
        <v>0.25</v>
      </c>
      <c r="DT7" s="13">
        <v>0.53</v>
      </c>
      <c r="DU7" s="13">
        <v>0</v>
      </c>
      <c r="DV7" s="13">
        <v>0.41</v>
      </c>
      <c r="DW7" s="13">
        <v>0.42</v>
      </c>
      <c r="DX7" s="13">
        <v>0.33</v>
      </c>
      <c r="DY7" s="16">
        <v>0.37</v>
      </c>
      <c r="DZ7" s="13">
        <v>0.25</v>
      </c>
      <c r="EA7" s="13">
        <v>0.59</v>
      </c>
      <c r="EB7" s="13">
        <v>0</v>
      </c>
      <c r="EC7" s="13">
        <v>0.45</v>
      </c>
      <c r="ED7" s="13">
        <v>0.42</v>
      </c>
      <c r="EE7" s="13">
        <v>0.5</v>
      </c>
      <c r="EF7" s="16">
        <v>0.35</v>
      </c>
      <c r="EG7" s="13">
        <v>0.21</v>
      </c>
      <c r="EH7" s="13">
        <v>0.49</v>
      </c>
      <c r="EI7" s="13">
        <v>0</v>
      </c>
      <c r="EJ7" s="13">
        <v>0.45</v>
      </c>
      <c r="EK7" s="13">
        <v>0.42</v>
      </c>
      <c r="EL7" s="13">
        <v>0.5</v>
      </c>
      <c r="EM7" s="16">
        <v>0.34</v>
      </c>
      <c r="EN7" s="13">
        <v>0.33</v>
      </c>
      <c r="EO7" s="13">
        <v>0.61</v>
      </c>
      <c r="EP7" s="13">
        <v>0</v>
      </c>
      <c r="EQ7" s="13">
        <v>0.09</v>
      </c>
      <c r="ER7" s="13">
        <v>0.5</v>
      </c>
      <c r="ES7" s="13">
        <v>0.5</v>
      </c>
      <c r="ET7" s="16">
        <v>0.56000000000000005</v>
      </c>
      <c r="EU7" s="13">
        <v>0.57999999999999996</v>
      </c>
      <c r="EV7" s="13">
        <v>0.69</v>
      </c>
      <c r="EW7" s="13">
        <v>0.5</v>
      </c>
      <c r="EX7" s="13">
        <v>0.73</v>
      </c>
      <c r="EY7" s="13">
        <v>0.5</v>
      </c>
      <c r="EZ7" s="13">
        <v>0.33</v>
      </c>
    </row>
    <row r="8" spans="1:156" ht="14.4" x14ac:dyDescent="0.3">
      <c r="A8" s="3" t="s">
        <v>18</v>
      </c>
      <c r="B8" s="3" t="s">
        <v>102</v>
      </c>
      <c r="C8" s="16">
        <v>0.52</v>
      </c>
      <c r="D8" s="13">
        <v>0.25</v>
      </c>
      <c r="E8" s="13">
        <v>0.7</v>
      </c>
      <c r="F8" s="13">
        <v>0.63</v>
      </c>
      <c r="G8" s="13">
        <v>0.73</v>
      </c>
      <c r="H8" s="13">
        <v>0.5</v>
      </c>
      <c r="I8" s="13">
        <v>0.33</v>
      </c>
      <c r="J8" s="16">
        <v>0.51</v>
      </c>
      <c r="K8" s="13">
        <v>0.25</v>
      </c>
      <c r="L8" s="13">
        <v>0.7</v>
      </c>
      <c r="M8" s="13">
        <v>0.63</v>
      </c>
      <c r="N8" s="13">
        <v>0.68</v>
      </c>
      <c r="O8" s="13">
        <v>0.5</v>
      </c>
      <c r="P8" s="13">
        <v>0.33</v>
      </c>
      <c r="Q8" s="16">
        <v>0.53</v>
      </c>
      <c r="R8" s="13">
        <v>0.28999999999999998</v>
      </c>
      <c r="S8" s="13">
        <v>0.74</v>
      </c>
      <c r="T8" s="13">
        <v>0.63</v>
      </c>
      <c r="U8" s="13">
        <v>0.68</v>
      </c>
      <c r="V8" s="13">
        <v>0.5</v>
      </c>
      <c r="W8" s="13">
        <v>0.33</v>
      </c>
      <c r="X8" s="16">
        <v>0.5</v>
      </c>
      <c r="Y8" s="13">
        <v>0.28999999999999998</v>
      </c>
      <c r="Z8" s="13">
        <v>0.73</v>
      </c>
      <c r="AA8" s="13">
        <v>0.5</v>
      </c>
      <c r="AB8" s="13">
        <v>0.64</v>
      </c>
      <c r="AC8" s="13">
        <v>0.5</v>
      </c>
      <c r="AD8" s="13">
        <v>0.33</v>
      </c>
      <c r="AE8" s="16">
        <v>0.5</v>
      </c>
      <c r="AF8" s="13">
        <v>0.33</v>
      </c>
      <c r="AG8" s="13">
        <v>0.71</v>
      </c>
      <c r="AH8" s="13">
        <v>0.5</v>
      </c>
      <c r="AI8" s="13">
        <v>0.64</v>
      </c>
      <c r="AJ8" s="13">
        <v>0.5</v>
      </c>
      <c r="AK8" s="13">
        <v>0.33</v>
      </c>
      <c r="AL8" s="16">
        <v>0.47</v>
      </c>
      <c r="AM8" s="13">
        <v>0.25</v>
      </c>
      <c r="AN8" s="13">
        <v>0.66</v>
      </c>
      <c r="AO8" s="13">
        <v>0.5</v>
      </c>
      <c r="AP8" s="13">
        <v>0.59</v>
      </c>
      <c r="AQ8" s="13">
        <v>0.5</v>
      </c>
      <c r="AR8" s="13">
        <v>0.33</v>
      </c>
      <c r="AS8" s="16">
        <v>0.47</v>
      </c>
      <c r="AT8" s="13">
        <v>0.25</v>
      </c>
      <c r="AU8" s="13">
        <v>0.66</v>
      </c>
      <c r="AV8" s="13">
        <v>0.5</v>
      </c>
      <c r="AW8" s="13">
        <v>0.55000000000000004</v>
      </c>
      <c r="AX8" s="13">
        <v>0.5</v>
      </c>
      <c r="AY8" s="13">
        <v>0.33</v>
      </c>
      <c r="AZ8" s="16">
        <v>0.46</v>
      </c>
      <c r="BA8" s="13">
        <v>0.25</v>
      </c>
      <c r="BB8" s="13">
        <v>0.65</v>
      </c>
      <c r="BC8" s="13">
        <v>0.5</v>
      </c>
      <c r="BD8" s="13">
        <v>0.5</v>
      </c>
      <c r="BE8" s="13">
        <v>0.5</v>
      </c>
      <c r="BF8" s="13">
        <v>0.33</v>
      </c>
      <c r="BG8" s="16">
        <v>0.44</v>
      </c>
      <c r="BH8" s="13">
        <v>0.25</v>
      </c>
      <c r="BI8" s="13">
        <v>0.59</v>
      </c>
      <c r="BJ8" s="13">
        <v>0.5</v>
      </c>
      <c r="BK8" s="13">
        <v>0.45</v>
      </c>
      <c r="BL8" s="13">
        <v>0.5</v>
      </c>
      <c r="BM8" s="13">
        <v>0.33</v>
      </c>
      <c r="BN8" s="16">
        <v>0.44</v>
      </c>
      <c r="BO8" s="13">
        <v>0.21</v>
      </c>
      <c r="BP8" s="13">
        <v>0.63</v>
      </c>
      <c r="BQ8" s="13">
        <v>0.5</v>
      </c>
      <c r="BR8" s="13">
        <v>0.45</v>
      </c>
      <c r="BS8" s="13">
        <v>0.5</v>
      </c>
      <c r="BT8" s="13">
        <v>0.33</v>
      </c>
      <c r="BU8" s="16">
        <v>0.45</v>
      </c>
      <c r="BV8" s="13">
        <v>0.25</v>
      </c>
      <c r="BW8" s="13">
        <v>0.64</v>
      </c>
      <c r="BX8" s="13">
        <v>0.5</v>
      </c>
      <c r="BY8" s="13">
        <v>0.45</v>
      </c>
      <c r="BZ8" s="13">
        <v>0.5</v>
      </c>
      <c r="CA8" s="13">
        <v>0.33</v>
      </c>
      <c r="CB8" s="16">
        <v>0.49</v>
      </c>
      <c r="CC8" s="13">
        <v>0.33</v>
      </c>
      <c r="CD8" s="13">
        <v>0.72</v>
      </c>
      <c r="CE8" s="13">
        <v>0.5</v>
      </c>
      <c r="CF8" s="13">
        <v>0.5</v>
      </c>
      <c r="CG8" s="13">
        <v>0.57999999999999996</v>
      </c>
      <c r="CH8" s="13">
        <v>0.33</v>
      </c>
      <c r="CI8" s="16">
        <v>0.51</v>
      </c>
      <c r="CJ8" s="13">
        <v>0.42</v>
      </c>
      <c r="CK8" s="13">
        <v>0.75</v>
      </c>
      <c r="CL8" s="13">
        <v>0.5</v>
      </c>
      <c r="CM8" s="13">
        <v>0.5</v>
      </c>
      <c r="CN8" s="13">
        <v>0.57999999999999996</v>
      </c>
      <c r="CO8" s="13">
        <v>0.33</v>
      </c>
      <c r="CP8" s="16">
        <v>0.52</v>
      </c>
      <c r="CQ8" s="13">
        <v>0.42</v>
      </c>
      <c r="CR8" s="13">
        <v>0.77</v>
      </c>
      <c r="CS8" s="13">
        <v>0.5</v>
      </c>
      <c r="CT8" s="13">
        <v>0.5</v>
      </c>
      <c r="CU8" s="13">
        <v>0.57999999999999996</v>
      </c>
      <c r="CV8" s="13">
        <v>0.33</v>
      </c>
      <c r="CW8" s="16">
        <v>0.52</v>
      </c>
      <c r="CX8" s="13">
        <v>0.42</v>
      </c>
      <c r="CY8" s="13">
        <v>0.79</v>
      </c>
      <c r="CZ8" s="13">
        <v>0.5</v>
      </c>
      <c r="DA8" s="13">
        <v>0.5</v>
      </c>
      <c r="DB8" s="13">
        <v>0.57999999999999996</v>
      </c>
      <c r="DC8" s="13">
        <v>0.33</v>
      </c>
      <c r="DD8" s="16">
        <v>0.54</v>
      </c>
      <c r="DE8" s="13">
        <v>0.42</v>
      </c>
      <c r="DF8" s="13">
        <v>0.84</v>
      </c>
      <c r="DG8" s="13">
        <v>0.5</v>
      </c>
      <c r="DH8" s="13">
        <v>0.5</v>
      </c>
      <c r="DI8" s="13">
        <v>0.67</v>
      </c>
      <c r="DJ8" s="13">
        <v>0.33</v>
      </c>
      <c r="DK8" s="16">
        <v>0.54</v>
      </c>
      <c r="DL8" s="13">
        <v>0.46</v>
      </c>
      <c r="DM8" s="13">
        <v>0.84</v>
      </c>
      <c r="DN8" s="13">
        <v>0.5</v>
      </c>
      <c r="DO8" s="13">
        <v>0.5</v>
      </c>
      <c r="DP8" s="13">
        <v>0.67</v>
      </c>
      <c r="DQ8" s="13">
        <v>0.25</v>
      </c>
      <c r="DR8" s="16">
        <v>0.53</v>
      </c>
      <c r="DS8" s="13">
        <v>0.42</v>
      </c>
      <c r="DT8" s="13">
        <v>0.86</v>
      </c>
      <c r="DU8" s="13">
        <v>0.5</v>
      </c>
      <c r="DV8" s="13">
        <v>0.5</v>
      </c>
      <c r="DW8" s="13">
        <v>0.67</v>
      </c>
      <c r="DX8" s="13">
        <v>0.25</v>
      </c>
      <c r="DY8" s="16">
        <v>0.54</v>
      </c>
      <c r="DZ8" s="13">
        <v>0.42</v>
      </c>
      <c r="EA8" s="13">
        <v>0.89</v>
      </c>
      <c r="EB8" s="13">
        <v>0.5</v>
      </c>
      <c r="EC8" s="13">
        <v>0.5</v>
      </c>
      <c r="ED8" s="13">
        <v>0.67</v>
      </c>
      <c r="EE8" s="13">
        <v>0.25</v>
      </c>
      <c r="EF8" s="16">
        <v>0.53</v>
      </c>
      <c r="EG8" s="13">
        <v>0.42</v>
      </c>
      <c r="EH8" s="13">
        <v>0.86</v>
      </c>
      <c r="EI8" s="13">
        <v>0.5</v>
      </c>
      <c r="EJ8" s="13">
        <v>0.5</v>
      </c>
      <c r="EK8" s="13">
        <v>0.67</v>
      </c>
      <c r="EL8" s="13">
        <v>0.25</v>
      </c>
      <c r="EM8" s="16">
        <v>0.59</v>
      </c>
      <c r="EN8" s="13">
        <v>0.42</v>
      </c>
      <c r="EO8" s="13">
        <v>0.8</v>
      </c>
      <c r="EP8" s="13">
        <v>0.5</v>
      </c>
      <c r="EQ8" s="13">
        <v>0.82</v>
      </c>
      <c r="ER8" s="13">
        <v>0.67</v>
      </c>
      <c r="ES8" s="13">
        <v>0.33</v>
      </c>
      <c r="ET8" s="16">
        <v>0.57999999999999996</v>
      </c>
      <c r="EU8" s="13">
        <v>0.42</v>
      </c>
      <c r="EV8" s="13">
        <v>0.82</v>
      </c>
      <c r="EW8" s="13">
        <v>0.5</v>
      </c>
      <c r="EX8" s="13">
        <v>0.73</v>
      </c>
      <c r="EY8" s="13">
        <v>0.67</v>
      </c>
      <c r="EZ8" s="13">
        <v>0.33</v>
      </c>
    </row>
    <row r="9" spans="1:156" ht="14.4" x14ac:dyDescent="0.3">
      <c r="A9" s="3" t="s">
        <v>20</v>
      </c>
      <c r="B9" s="3" t="s">
        <v>19</v>
      </c>
      <c r="C9" s="16">
        <v>0.56999999999999995</v>
      </c>
      <c r="D9" s="13">
        <v>0.67</v>
      </c>
      <c r="E9" s="13">
        <v>0.68</v>
      </c>
      <c r="F9" s="13">
        <v>0.63</v>
      </c>
      <c r="G9" s="13">
        <v>0.55000000000000004</v>
      </c>
      <c r="H9" s="13">
        <v>0.42</v>
      </c>
      <c r="I9" s="13">
        <v>0.5</v>
      </c>
      <c r="J9" s="16">
        <v>0.59</v>
      </c>
      <c r="K9" s="13">
        <v>0.67</v>
      </c>
      <c r="L9" s="13">
        <v>0.7</v>
      </c>
      <c r="M9" s="13">
        <v>0.63</v>
      </c>
      <c r="N9" s="13">
        <v>0.64</v>
      </c>
      <c r="O9" s="13">
        <v>0.42</v>
      </c>
      <c r="P9" s="13">
        <v>0.5</v>
      </c>
      <c r="Q9" s="16">
        <v>0.57999999999999996</v>
      </c>
      <c r="R9" s="13">
        <v>0.67</v>
      </c>
      <c r="S9" s="13">
        <v>0.68</v>
      </c>
      <c r="T9" s="13">
        <v>0.63</v>
      </c>
      <c r="U9" s="13">
        <v>0.59</v>
      </c>
      <c r="V9" s="13">
        <v>0.42</v>
      </c>
      <c r="W9" s="13">
        <v>0.5</v>
      </c>
      <c r="X9" s="16">
        <v>0.59</v>
      </c>
      <c r="Y9" s="13">
        <v>0.67</v>
      </c>
      <c r="Z9" s="13">
        <v>0.69</v>
      </c>
      <c r="AA9" s="13">
        <v>0.63</v>
      </c>
      <c r="AB9" s="13">
        <v>0.64</v>
      </c>
      <c r="AC9" s="13">
        <v>0.42</v>
      </c>
      <c r="AD9" s="13">
        <v>0.5</v>
      </c>
      <c r="AE9" s="16">
        <v>0.57999999999999996</v>
      </c>
      <c r="AF9" s="13">
        <v>0.67</v>
      </c>
      <c r="AG9" s="13">
        <v>0.69</v>
      </c>
      <c r="AH9" s="13">
        <v>0.63</v>
      </c>
      <c r="AI9" s="13">
        <v>0.64</v>
      </c>
      <c r="AJ9" s="13">
        <v>0.42</v>
      </c>
      <c r="AK9" s="13">
        <v>0.42</v>
      </c>
      <c r="AL9" s="16">
        <v>0.59</v>
      </c>
      <c r="AM9" s="13">
        <v>0.67</v>
      </c>
      <c r="AN9" s="13">
        <v>0.7</v>
      </c>
      <c r="AO9" s="13">
        <v>0.63</v>
      </c>
      <c r="AP9" s="13">
        <v>0.64</v>
      </c>
      <c r="AQ9" s="13">
        <v>0.42</v>
      </c>
      <c r="AR9" s="13">
        <v>0.5</v>
      </c>
      <c r="AS9" s="16">
        <v>0.6</v>
      </c>
      <c r="AT9" s="13">
        <v>0.67</v>
      </c>
      <c r="AU9" s="13">
        <v>0.68</v>
      </c>
      <c r="AV9" s="13">
        <v>0.63</v>
      </c>
      <c r="AW9" s="13">
        <v>0.68</v>
      </c>
      <c r="AX9" s="13">
        <v>0.42</v>
      </c>
      <c r="AY9" s="13">
        <v>0.5</v>
      </c>
      <c r="AZ9" s="16">
        <v>0.57999999999999996</v>
      </c>
      <c r="BA9" s="13">
        <v>0.67</v>
      </c>
      <c r="BB9" s="13">
        <v>0.67</v>
      </c>
      <c r="BC9" s="13">
        <v>0.63</v>
      </c>
      <c r="BD9" s="13">
        <v>0.59</v>
      </c>
      <c r="BE9" s="13">
        <v>0.42</v>
      </c>
      <c r="BF9" s="13">
        <v>0.5</v>
      </c>
      <c r="BG9" s="16">
        <v>0.56999999999999995</v>
      </c>
      <c r="BH9" s="13">
        <v>0.67</v>
      </c>
      <c r="BI9" s="13">
        <v>0.71</v>
      </c>
      <c r="BJ9" s="13">
        <v>0.63</v>
      </c>
      <c r="BK9" s="13">
        <v>0.59</v>
      </c>
      <c r="BL9" s="13">
        <v>0.42</v>
      </c>
      <c r="BM9" s="13">
        <v>0.42</v>
      </c>
      <c r="BN9" s="16">
        <v>0.56999999999999995</v>
      </c>
      <c r="BO9" s="13">
        <v>0.67</v>
      </c>
      <c r="BP9" s="13">
        <v>0.73</v>
      </c>
      <c r="BQ9" s="13">
        <v>0.63</v>
      </c>
      <c r="BR9" s="13">
        <v>0.59</v>
      </c>
      <c r="BS9" s="13">
        <v>0.42</v>
      </c>
      <c r="BT9" s="13">
        <v>0.42</v>
      </c>
      <c r="BU9" s="16">
        <v>0.57999999999999996</v>
      </c>
      <c r="BV9" s="13">
        <v>0.67</v>
      </c>
      <c r="BW9" s="13">
        <v>0.74</v>
      </c>
      <c r="BX9" s="13">
        <v>0.63</v>
      </c>
      <c r="BY9" s="13">
        <v>0.59</v>
      </c>
      <c r="BZ9" s="13">
        <v>0.42</v>
      </c>
      <c r="CA9" s="13">
        <v>0.42</v>
      </c>
      <c r="CB9" s="16">
        <v>0.56000000000000005</v>
      </c>
      <c r="CC9" s="13">
        <v>0.67</v>
      </c>
      <c r="CD9" s="13">
        <v>0.69</v>
      </c>
      <c r="CE9" s="13">
        <v>0.63</v>
      </c>
      <c r="CF9" s="13">
        <v>0.55000000000000004</v>
      </c>
      <c r="CG9" s="13">
        <v>0.42</v>
      </c>
      <c r="CH9" s="13">
        <v>0.42</v>
      </c>
      <c r="CI9" s="16">
        <v>0.56000000000000005</v>
      </c>
      <c r="CJ9" s="13">
        <v>0.67</v>
      </c>
      <c r="CK9" s="13">
        <v>0.74</v>
      </c>
      <c r="CL9" s="13">
        <v>0.63</v>
      </c>
      <c r="CM9" s="13">
        <v>0.64</v>
      </c>
      <c r="CN9" s="13">
        <v>0.42</v>
      </c>
      <c r="CO9" s="13">
        <v>0.25</v>
      </c>
      <c r="CP9" s="16">
        <v>0.56000000000000005</v>
      </c>
      <c r="CQ9" s="13">
        <v>0.67</v>
      </c>
      <c r="CR9" s="13">
        <v>0.74</v>
      </c>
      <c r="CS9" s="13">
        <v>0.63</v>
      </c>
      <c r="CT9" s="13">
        <v>0.68</v>
      </c>
      <c r="CU9" s="13">
        <v>0.42</v>
      </c>
      <c r="CV9" s="13">
        <v>0.25</v>
      </c>
      <c r="CW9" s="16">
        <v>0.56000000000000005</v>
      </c>
      <c r="CX9" s="13">
        <v>0.67</v>
      </c>
      <c r="CY9" s="13">
        <v>0.75</v>
      </c>
      <c r="CZ9" s="13">
        <v>0.63</v>
      </c>
      <c r="DA9" s="13">
        <v>0.68</v>
      </c>
      <c r="DB9" s="13">
        <v>0.42</v>
      </c>
      <c r="DC9" s="13">
        <v>0.25</v>
      </c>
      <c r="DD9" s="16">
        <v>0.56999999999999995</v>
      </c>
      <c r="DE9" s="13">
        <v>0.67</v>
      </c>
      <c r="DF9" s="13">
        <v>0.77</v>
      </c>
      <c r="DG9" s="13">
        <v>0.63</v>
      </c>
      <c r="DH9" s="13">
        <v>0.68</v>
      </c>
      <c r="DI9" s="13">
        <v>0.42</v>
      </c>
      <c r="DJ9" s="13">
        <v>0.25</v>
      </c>
      <c r="DK9" s="16">
        <v>0.55000000000000004</v>
      </c>
      <c r="DL9" s="13">
        <v>0.67</v>
      </c>
      <c r="DM9" s="13">
        <v>0.77</v>
      </c>
      <c r="DN9" s="13">
        <v>0.5</v>
      </c>
      <c r="DO9" s="13">
        <v>0.68</v>
      </c>
      <c r="DP9" s="13">
        <v>0.42</v>
      </c>
      <c r="DQ9" s="13">
        <v>0.25</v>
      </c>
      <c r="DR9" s="16">
        <v>0.52</v>
      </c>
      <c r="DS9" s="13">
        <v>0.57999999999999996</v>
      </c>
      <c r="DT9" s="13">
        <v>0.68</v>
      </c>
      <c r="DU9" s="13">
        <v>0.5</v>
      </c>
      <c r="DV9" s="13">
        <v>0.59</v>
      </c>
      <c r="DW9" s="13">
        <v>0.33</v>
      </c>
      <c r="DX9" s="13">
        <v>0.42</v>
      </c>
      <c r="DY9" s="16">
        <v>0.49</v>
      </c>
      <c r="DZ9" s="13">
        <v>0.46</v>
      </c>
      <c r="EA9" s="13">
        <v>0.68</v>
      </c>
      <c r="EB9" s="13">
        <v>0.5</v>
      </c>
      <c r="EC9" s="13">
        <v>0.55000000000000004</v>
      </c>
      <c r="ED9" s="13">
        <v>0.33</v>
      </c>
      <c r="EE9" s="13">
        <v>0.42</v>
      </c>
      <c r="EF9" s="16">
        <v>0.49</v>
      </c>
      <c r="EG9" s="13">
        <v>0.46</v>
      </c>
      <c r="EH9" s="13">
        <v>0.69</v>
      </c>
      <c r="EI9" s="13">
        <v>0.5</v>
      </c>
      <c r="EJ9" s="13">
        <v>0.55000000000000004</v>
      </c>
      <c r="EK9" s="13">
        <v>0.33</v>
      </c>
      <c r="EL9" s="13">
        <v>0.42</v>
      </c>
      <c r="EM9" s="16">
        <v>0.5</v>
      </c>
      <c r="EN9" s="13">
        <v>0.42</v>
      </c>
      <c r="EO9" s="13">
        <v>0.67</v>
      </c>
      <c r="EP9" s="13">
        <v>0.5</v>
      </c>
      <c r="EQ9" s="13">
        <v>0.73</v>
      </c>
      <c r="ER9" s="13">
        <v>0.33</v>
      </c>
      <c r="ES9" s="13">
        <v>0.33</v>
      </c>
      <c r="ET9" s="16">
        <v>0.54</v>
      </c>
      <c r="EU9" s="13">
        <v>0.42</v>
      </c>
      <c r="EV9" s="13">
        <v>0.74</v>
      </c>
      <c r="EW9" s="13">
        <v>0.5</v>
      </c>
      <c r="EX9" s="13">
        <v>0.73</v>
      </c>
      <c r="EY9" s="13">
        <v>0.5</v>
      </c>
      <c r="EZ9" s="13">
        <v>0.33</v>
      </c>
    </row>
    <row r="10" spans="1:156" ht="14.4" x14ac:dyDescent="0.3">
      <c r="A10" s="3" t="s">
        <v>22</v>
      </c>
      <c r="B10" s="3" t="s">
        <v>21</v>
      </c>
      <c r="C10" s="16">
        <v>0.28000000000000003</v>
      </c>
      <c r="D10" s="13">
        <v>0.25</v>
      </c>
      <c r="E10" s="13">
        <v>0.66</v>
      </c>
      <c r="F10" s="13">
        <v>0</v>
      </c>
      <c r="G10" s="13">
        <v>0.36</v>
      </c>
      <c r="H10" s="13">
        <v>0.25</v>
      </c>
      <c r="I10" s="13">
        <v>0.17</v>
      </c>
      <c r="J10" s="16">
        <v>0.3</v>
      </c>
      <c r="K10" s="13">
        <v>0.28999999999999998</v>
      </c>
      <c r="L10" s="13">
        <v>0.66</v>
      </c>
      <c r="M10" s="13">
        <v>0</v>
      </c>
      <c r="N10" s="13">
        <v>0.36</v>
      </c>
      <c r="O10" s="13">
        <v>0.25</v>
      </c>
      <c r="P10" s="13">
        <v>0.25</v>
      </c>
      <c r="Q10" s="16">
        <v>0.31</v>
      </c>
      <c r="R10" s="13">
        <v>0.33</v>
      </c>
      <c r="S10" s="13">
        <v>0.67</v>
      </c>
      <c r="T10" s="13">
        <v>0</v>
      </c>
      <c r="U10" s="13">
        <v>0.36</v>
      </c>
      <c r="V10" s="13">
        <v>0.25</v>
      </c>
      <c r="W10" s="13">
        <v>0.25</v>
      </c>
      <c r="X10" s="16">
        <v>0.32</v>
      </c>
      <c r="Y10" s="13">
        <v>0.38</v>
      </c>
      <c r="Z10" s="13">
        <v>0.7</v>
      </c>
      <c r="AA10" s="13">
        <v>0</v>
      </c>
      <c r="AB10" s="13">
        <v>0.36</v>
      </c>
      <c r="AC10" s="13">
        <v>0.25</v>
      </c>
      <c r="AD10" s="13">
        <v>0.25</v>
      </c>
      <c r="AE10" s="16">
        <v>0.33</v>
      </c>
      <c r="AF10" s="13">
        <v>0.38</v>
      </c>
      <c r="AG10" s="13">
        <v>0.72</v>
      </c>
      <c r="AH10" s="13">
        <v>0</v>
      </c>
      <c r="AI10" s="13">
        <v>0.36</v>
      </c>
      <c r="AJ10" s="13">
        <v>0.25</v>
      </c>
      <c r="AK10" s="13">
        <v>0.25</v>
      </c>
      <c r="AL10" s="16">
        <v>0.28000000000000003</v>
      </c>
      <c r="AM10" s="13">
        <v>0.28999999999999998</v>
      </c>
      <c r="AN10" s="13">
        <v>0.67</v>
      </c>
      <c r="AO10" s="13">
        <v>0</v>
      </c>
      <c r="AP10" s="13">
        <v>0.27</v>
      </c>
      <c r="AQ10" s="13">
        <v>0.25</v>
      </c>
      <c r="AR10" s="13">
        <v>0.17</v>
      </c>
      <c r="AS10" s="16">
        <v>0.27</v>
      </c>
      <c r="AT10" s="13">
        <v>0.28999999999999998</v>
      </c>
      <c r="AU10" s="13">
        <v>0.65</v>
      </c>
      <c r="AV10" s="13">
        <v>0</v>
      </c>
      <c r="AW10" s="13">
        <v>0.27</v>
      </c>
      <c r="AX10" s="13">
        <v>0.25</v>
      </c>
      <c r="AY10" s="13">
        <v>0.17</v>
      </c>
      <c r="AZ10" s="16">
        <v>0.28000000000000003</v>
      </c>
      <c r="BA10" s="13">
        <v>0.28999999999999998</v>
      </c>
      <c r="BB10" s="13">
        <v>0.69</v>
      </c>
      <c r="BC10" s="13">
        <v>0</v>
      </c>
      <c r="BD10" s="13">
        <v>0.27</v>
      </c>
      <c r="BE10" s="13">
        <v>0.25</v>
      </c>
      <c r="BF10" s="13">
        <v>0.17</v>
      </c>
      <c r="BG10" s="16">
        <v>0.27</v>
      </c>
      <c r="BH10" s="13">
        <v>0.25</v>
      </c>
      <c r="BI10" s="13">
        <v>0.7</v>
      </c>
      <c r="BJ10" s="13">
        <v>0</v>
      </c>
      <c r="BK10" s="13">
        <v>0.27</v>
      </c>
      <c r="BL10" s="13">
        <v>0.25</v>
      </c>
      <c r="BM10" s="13">
        <v>0.17</v>
      </c>
      <c r="BN10" s="16">
        <v>0.28000000000000003</v>
      </c>
      <c r="BO10" s="13">
        <v>0.28999999999999998</v>
      </c>
      <c r="BP10" s="13">
        <v>0.72</v>
      </c>
      <c r="BQ10" s="13">
        <v>0</v>
      </c>
      <c r="BR10" s="13">
        <v>0.27</v>
      </c>
      <c r="BS10" s="13">
        <v>0.25</v>
      </c>
      <c r="BT10" s="13">
        <v>0.17</v>
      </c>
      <c r="BU10" s="16">
        <v>0.27</v>
      </c>
      <c r="BV10" s="13">
        <v>0.21</v>
      </c>
      <c r="BW10" s="13">
        <v>0.73</v>
      </c>
      <c r="BX10" s="13">
        <v>0</v>
      </c>
      <c r="BY10" s="13">
        <v>0.27</v>
      </c>
      <c r="BZ10" s="13">
        <v>0.25</v>
      </c>
      <c r="CA10" s="13">
        <v>0.17</v>
      </c>
      <c r="CB10" s="16">
        <v>0.25</v>
      </c>
      <c r="CC10" s="13">
        <v>0.21</v>
      </c>
      <c r="CD10" s="13">
        <v>0.62</v>
      </c>
      <c r="CE10" s="13">
        <v>0</v>
      </c>
      <c r="CF10" s="13">
        <v>0.27</v>
      </c>
      <c r="CG10" s="13">
        <v>0.25</v>
      </c>
      <c r="CH10" s="13">
        <v>0.17</v>
      </c>
      <c r="CI10" s="16">
        <v>0.27</v>
      </c>
      <c r="CJ10" s="13">
        <v>0.21</v>
      </c>
      <c r="CK10" s="13">
        <v>0.66</v>
      </c>
      <c r="CL10" s="13">
        <v>0</v>
      </c>
      <c r="CM10" s="13">
        <v>0.32</v>
      </c>
      <c r="CN10" s="13">
        <v>0.25</v>
      </c>
      <c r="CO10" s="13">
        <v>0.17</v>
      </c>
      <c r="CP10" s="16">
        <v>0.26</v>
      </c>
      <c r="CQ10" s="13">
        <v>0.21</v>
      </c>
      <c r="CR10" s="13">
        <v>0.64</v>
      </c>
      <c r="CS10" s="13">
        <v>0</v>
      </c>
      <c r="CT10" s="13">
        <v>0.32</v>
      </c>
      <c r="CU10" s="13">
        <v>0.25</v>
      </c>
      <c r="CV10" s="13">
        <v>0.17</v>
      </c>
      <c r="CW10" s="16">
        <v>0.28999999999999998</v>
      </c>
      <c r="CX10" s="13">
        <v>0.21</v>
      </c>
      <c r="CY10" s="13">
        <v>0.72</v>
      </c>
      <c r="CZ10" s="13">
        <v>0</v>
      </c>
      <c r="DA10" s="13">
        <v>0.32</v>
      </c>
      <c r="DB10" s="13">
        <v>0.33</v>
      </c>
      <c r="DC10" s="13">
        <v>0.17</v>
      </c>
      <c r="DD10" s="16">
        <v>0.23</v>
      </c>
      <c r="DE10" s="13">
        <v>0</v>
      </c>
      <c r="DF10" s="13">
        <v>0.64</v>
      </c>
      <c r="DG10" s="13">
        <v>0</v>
      </c>
      <c r="DH10" s="13">
        <v>0.32</v>
      </c>
      <c r="DI10" s="13">
        <v>0.25</v>
      </c>
      <c r="DJ10" s="13">
        <v>0.17</v>
      </c>
      <c r="DK10" s="16">
        <v>0.25</v>
      </c>
      <c r="DL10" s="13">
        <v>0</v>
      </c>
      <c r="DM10" s="13">
        <v>0.56999999999999995</v>
      </c>
      <c r="DN10" s="13">
        <v>0</v>
      </c>
      <c r="DO10" s="13">
        <v>0.32</v>
      </c>
      <c r="DP10" s="13">
        <v>0.33</v>
      </c>
      <c r="DQ10" s="13">
        <v>0.25</v>
      </c>
      <c r="DR10" s="16">
        <v>0.3</v>
      </c>
      <c r="DS10" s="13">
        <v>0</v>
      </c>
      <c r="DT10" s="13">
        <v>0.57999999999999996</v>
      </c>
      <c r="DU10" s="13">
        <v>0</v>
      </c>
      <c r="DV10" s="13">
        <v>0.41</v>
      </c>
      <c r="DW10" s="13">
        <v>0.42</v>
      </c>
      <c r="DX10" s="13">
        <v>0.42</v>
      </c>
      <c r="DY10" s="16">
        <v>0.28999999999999998</v>
      </c>
      <c r="DZ10" s="13">
        <v>0.28999999999999998</v>
      </c>
      <c r="EA10" s="13">
        <v>0.59</v>
      </c>
      <c r="EB10" s="13">
        <v>0</v>
      </c>
      <c r="EC10" s="13">
        <v>0.36</v>
      </c>
      <c r="ED10" s="13">
        <v>0.33</v>
      </c>
      <c r="EE10" s="13">
        <v>0.17</v>
      </c>
      <c r="EF10" s="16">
        <v>0.3</v>
      </c>
      <c r="EG10" s="13">
        <v>0.28999999999999998</v>
      </c>
      <c r="EH10" s="13">
        <v>0.62</v>
      </c>
      <c r="EI10" s="13">
        <v>0</v>
      </c>
      <c r="EJ10" s="13">
        <v>0.36</v>
      </c>
      <c r="EK10" s="13">
        <v>0.33</v>
      </c>
      <c r="EL10" s="13">
        <v>0.17</v>
      </c>
      <c r="EM10" s="16">
        <v>0.34</v>
      </c>
      <c r="EN10" s="13">
        <v>0.42</v>
      </c>
      <c r="EO10" s="13">
        <v>0.67</v>
      </c>
      <c r="EP10" s="13">
        <v>0</v>
      </c>
      <c r="EQ10" s="13">
        <v>0.27</v>
      </c>
      <c r="ER10" s="13">
        <v>0.33</v>
      </c>
      <c r="ES10" s="13">
        <v>0.33</v>
      </c>
      <c r="ET10" s="16">
        <v>0.32</v>
      </c>
      <c r="EU10" s="13">
        <v>0.42</v>
      </c>
      <c r="EV10" s="13">
        <v>0.55000000000000004</v>
      </c>
      <c r="EW10" s="13">
        <v>0</v>
      </c>
      <c r="EX10" s="13">
        <v>0.27</v>
      </c>
      <c r="EY10" s="13">
        <v>0.33</v>
      </c>
      <c r="EZ10" s="13">
        <v>0.33</v>
      </c>
    </row>
    <row r="11" spans="1:156" ht="14.4" x14ac:dyDescent="0.3">
      <c r="A11" s="3" t="s">
        <v>24</v>
      </c>
      <c r="B11" s="3" t="s">
        <v>23</v>
      </c>
      <c r="C11" s="16">
        <v>0.52</v>
      </c>
      <c r="D11" s="13">
        <v>0.57999999999999996</v>
      </c>
      <c r="E11" s="13">
        <v>0.75</v>
      </c>
      <c r="F11" s="13">
        <v>0.5</v>
      </c>
      <c r="G11" s="13">
        <v>0.64</v>
      </c>
      <c r="H11" s="13">
        <v>0.42</v>
      </c>
      <c r="I11" s="13">
        <v>0.25</v>
      </c>
      <c r="J11" s="16">
        <v>0.53</v>
      </c>
      <c r="K11" s="13">
        <v>0.54</v>
      </c>
      <c r="L11" s="13">
        <v>0.73</v>
      </c>
      <c r="M11" s="13">
        <v>0.5</v>
      </c>
      <c r="N11" s="13">
        <v>0.64</v>
      </c>
      <c r="O11" s="13">
        <v>0.42</v>
      </c>
      <c r="P11" s="13">
        <v>0.33</v>
      </c>
      <c r="Q11" s="16">
        <v>0.51</v>
      </c>
      <c r="R11" s="13">
        <v>0.57999999999999996</v>
      </c>
      <c r="S11" s="13">
        <v>0.73</v>
      </c>
      <c r="T11" s="13">
        <v>0.5</v>
      </c>
      <c r="U11" s="13">
        <v>0.59</v>
      </c>
      <c r="V11" s="13">
        <v>0.33</v>
      </c>
      <c r="W11" s="13">
        <v>0.33</v>
      </c>
      <c r="X11" s="16">
        <v>0.54</v>
      </c>
      <c r="Y11" s="13">
        <v>0.57999999999999996</v>
      </c>
      <c r="Z11" s="13">
        <v>0.75</v>
      </c>
      <c r="AA11" s="13">
        <v>0.5</v>
      </c>
      <c r="AB11" s="13">
        <v>0.64</v>
      </c>
      <c r="AC11" s="13">
        <v>0.33</v>
      </c>
      <c r="AD11" s="13">
        <v>0.42</v>
      </c>
      <c r="AE11" s="16">
        <v>0.51</v>
      </c>
      <c r="AF11" s="13">
        <v>0.57999999999999996</v>
      </c>
      <c r="AG11" s="13">
        <v>0.73</v>
      </c>
      <c r="AH11" s="13">
        <v>0.5</v>
      </c>
      <c r="AI11" s="13">
        <v>0.59</v>
      </c>
      <c r="AJ11" s="13">
        <v>0.33</v>
      </c>
      <c r="AK11" s="13">
        <v>0.33</v>
      </c>
      <c r="AL11" s="16">
        <v>0.52</v>
      </c>
      <c r="AM11" s="13">
        <v>0.57999999999999996</v>
      </c>
      <c r="AN11" s="13">
        <v>0.75</v>
      </c>
      <c r="AO11" s="13">
        <v>0.5</v>
      </c>
      <c r="AP11" s="13">
        <v>0.59</v>
      </c>
      <c r="AQ11" s="13">
        <v>0.25</v>
      </c>
      <c r="AR11" s="13">
        <v>0.42</v>
      </c>
      <c r="AS11" s="16">
        <v>0.52</v>
      </c>
      <c r="AT11" s="13">
        <v>0.57999999999999996</v>
      </c>
      <c r="AU11" s="13">
        <v>0.78</v>
      </c>
      <c r="AV11" s="13">
        <v>0.5</v>
      </c>
      <c r="AW11" s="13">
        <v>0.59</v>
      </c>
      <c r="AX11" s="13">
        <v>0.25</v>
      </c>
      <c r="AY11" s="13">
        <v>0.42</v>
      </c>
      <c r="AZ11" s="16">
        <v>0.5</v>
      </c>
      <c r="BA11" s="13">
        <v>0.63</v>
      </c>
      <c r="BB11" s="13">
        <v>0.77</v>
      </c>
      <c r="BC11" s="13">
        <v>0.5</v>
      </c>
      <c r="BD11" s="13">
        <v>0.55000000000000004</v>
      </c>
      <c r="BE11" s="13">
        <v>0.25</v>
      </c>
      <c r="BF11" s="13">
        <v>0.33</v>
      </c>
      <c r="BG11" s="16">
        <v>0.49</v>
      </c>
      <c r="BH11" s="13">
        <v>0.67</v>
      </c>
      <c r="BI11" s="13">
        <v>0.75</v>
      </c>
      <c r="BJ11" s="13">
        <v>0.5</v>
      </c>
      <c r="BK11" s="13">
        <v>0.55000000000000004</v>
      </c>
      <c r="BL11" s="13">
        <v>0.25</v>
      </c>
      <c r="BM11" s="13">
        <v>0.25</v>
      </c>
      <c r="BN11" s="16">
        <v>0.48</v>
      </c>
      <c r="BO11" s="13">
        <v>0.63</v>
      </c>
      <c r="BP11" s="13">
        <v>0.78</v>
      </c>
      <c r="BQ11" s="13">
        <v>0.5</v>
      </c>
      <c r="BR11" s="13">
        <v>0.5</v>
      </c>
      <c r="BS11" s="13">
        <v>0.25</v>
      </c>
      <c r="BT11" s="13">
        <v>0.25</v>
      </c>
      <c r="BU11" s="16">
        <v>0.51</v>
      </c>
      <c r="BV11" s="13">
        <v>0.63</v>
      </c>
      <c r="BW11" s="13">
        <v>0.79</v>
      </c>
      <c r="BX11" s="13">
        <v>0.5</v>
      </c>
      <c r="BY11" s="13">
        <v>0.5</v>
      </c>
      <c r="BZ11" s="13">
        <v>0.33</v>
      </c>
      <c r="CA11" s="13">
        <v>0.33</v>
      </c>
      <c r="CB11" s="16">
        <v>0.5</v>
      </c>
      <c r="CC11" s="13">
        <v>0.63</v>
      </c>
      <c r="CD11" s="13">
        <v>0.77</v>
      </c>
      <c r="CE11" s="13">
        <v>0.5</v>
      </c>
      <c r="CF11" s="13">
        <v>0.5</v>
      </c>
      <c r="CG11" s="13">
        <v>0.25</v>
      </c>
      <c r="CH11" s="13">
        <v>0.33</v>
      </c>
      <c r="CI11" s="16">
        <v>0.49</v>
      </c>
      <c r="CJ11" s="13">
        <v>0.57999999999999996</v>
      </c>
      <c r="CK11" s="13">
        <v>0.78</v>
      </c>
      <c r="CL11" s="13">
        <v>0.5</v>
      </c>
      <c r="CM11" s="13">
        <v>0.5</v>
      </c>
      <c r="CN11" s="13">
        <v>0.25</v>
      </c>
      <c r="CO11" s="13">
        <v>0.33</v>
      </c>
      <c r="CP11" s="16">
        <v>0.49</v>
      </c>
      <c r="CQ11" s="13">
        <v>0.63</v>
      </c>
      <c r="CR11" s="13">
        <v>0.74</v>
      </c>
      <c r="CS11" s="13">
        <v>0.5</v>
      </c>
      <c r="CT11" s="13">
        <v>0.5</v>
      </c>
      <c r="CU11" s="13">
        <v>0.25</v>
      </c>
      <c r="CV11" s="13">
        <v>0.33</v>
      </c>
      <c r="CW11" s="16">
        <v>0.5</v>
      </c>
      <c r="CX11" s="13">
        <v>0.67</v>
      </c>
      <c r="CY11" s="13">
        <v>0.77</v>
      </c>
      <c r="CZ11" s="13">
        <v>0.5</v>
      </c>
      <c r="DA11" s="13">
        <v>0.5</v>
      </c>
      <c r="DB11" s="13">
        <v>0.25</v>
      </c>
      <c r="DC11" s="13">
        <v>0.33</v>
      </c>
      <c r="DD11" s="16">
        <v>0.51</v>
      </c>
      <c r="DE11" s="13">
        <v>0.67</v>
      </c>
      <c r="DF11" s="13">
        <v>0.78</v>
      </c>
      <c r="DG11" s="13">
        <v>0.5</v>
      </c>
      <c r="DH11" s="13">
        <v>0.55000000000000004</v>
      </c>
      <c r="DI11" s="13">
        <v>0.25</v>
      </c>
      <c r="DJ11" s="13">
        <v>0.33</v>
      </c>
      <c r="DK11" s="16">
        <v>0.51</v>
      </c>
      <c r="DL11" s="13">
        <v>0.67</v>
      </c>
      <c r="DM11" s="13">
        <v>0.73</v>
      </c>
      <c r="DN11" s="13">
        <v>0.5</v>
      </c>
      <c r="DO11" s="13">
        <v>0.59</v>
      </c>
      <c r="DP11" s="13">
        <v>0.25</v>
      </c>
      <c r="DQ11" s="13">
        <v>0.33</v>
      </c>
      <c r="DR11" s="16">
        <v>0.51</v>
      </c>
      <c r="DS11" s="13">
        <v>0.57999999999999996</v>
      </c>
      <c r="DT11" s="13">
        <v>0.78</v>
      </c>
      <c r="DU11" s="13">
        <v>0.5</v>
      </c>
      <c r="DV11" s="13">
        <v>0.59</v>
      </c>
      <c r="DW11" s="13">
        <v>0.25</v>
      </c>
      <c r="DX11" s="13">
        <v>0.33</v>
      </c>
      <c r="DY11" s="16">
        <v>0.53</v>
      </c>
      <c r="DZ11" s="13">
        <v>0.57999999999999996</v>
      </c>
      <c r="EA11" s="13">
        <v>0.8</v>
      </c>
      <c r="EB11" s="13">
        <v>0.5</v>
      </c>
      <c r="EC11" s="13">
        <v>0.64</v>
      </c>
      <c r="ED11" s="13">
        <v>0.25</v>
      </c>
      <c r="EE11" s="13">
        <v>0.42</v>
      </c>
      <c r="EF11" s="16">
        <v>0.53</v>
      </c>
      <c r="EG11" s="13">
        <v>0.57999999999999996</v>
      </c>
      <c r="EH11" s="13">
        <v>0.79</v>
      </c>
      <c r="EI11" s="13">
        <v>0.5</v>
      </c>
      <c r="EJ11" s="13">
        <v>0.64</v>
      </c>
      <c r="EK11" s="13">
        <v>0.25</v>
      </c>
      <c r="EL11" s="13">
        <v>0.42</v>
      </c>
      <c r="EM11" s="16">
        <v>0.53</v>
      </c>
      <c r="EN11" s="13">
        <v>0.57999999999999996</v>
      </c>
      <c r="EO11" s="13">
        <v>0.82</v>
      </c>
      <c r="EP11" s="13">
        <v>0.5</v>
      </c>
      <c r="EQ11" s="13">
        <v>0.64</v>
      </c>
      <c r="ER11" s="13">
        <v>0.33</v>
      </c>
      <c r="ES11" s="13">
        <v>0.33</v>
      </c>
      <c r="ET11" s="16">
        <v>0.52</v>
      </c>
      <c r="EU11" s="13">
        <v>0.5</v>
      </c>
      <c r="EV11" s="13">
        <v>0.84</v>
      </c>
      <c r="EW11" s="13">
        <v>0.5</v>
      </c>
      <c r="EX11" s="13">
        <v>0.64</v>
      </c>
      <c r="EY11" s="13">
        <v>0.33</v>
      </c>
      <c r="EZ11" s="13">
        <v>0.33</v>
      </c>
    </row>
    <row r="12" spans="1:156" ht="14.4" x14ac:dyDescent="0.3">
      <c r="A12" s="3" t="s">
        <v>26</v>
      </c>
      <c r="B12" s="3" t="s">
        <v>25</v>
      </c>
      <c r="C12" s="16">
        <v>0.68</v>
      </c>
      <c r="D12" s="13">
        <v>0.83</v>
      </c>
      <c r="E12" s="13">
        <v>0.63</v>
      </c>
      <c r="F12" s="13">
        <v>0.75</v>
      </c>
      <c r="G12" s="13">
        <v>0.73</v>
      </c>
      <c r="H12" s="13">
        <v>0.75</v>
      </c>
      <c r="I12" s="13">
        <v>0.42</v>
      </c>
      <c r="J12" s="16">
        <v>0.67</v>
      </c>
      <c r="K12" s="13">
        <v>0.83</v>
      </c>
      <c r="L12" s="13">
        <v>0.56999999999999995</v>
      </c>
      <c r="M12" s="13">
        <v>0.75</v>
      </c>
      <c r="N12" s="13">
        <v>0.73</v>
      </c>
      <c r="O12" s="13">
        <v>0.75</v>
      </c>
      <c r="P12" s="13">
        <v>0.42</v>
      </c>
      <c r="Q12" s="16">
        <v>0.67</v>
      </c>
      <c r="R12" s="13">
        <v>0.83</v>
      </c>
      <c r="S12" s="13">
        <v>0.56000000000000005</v>
      </c>
      <c r="T12" s="13">
        <v>0.75</v>
      </c>
      <c r="U12" s="13">
        <v>0.73</v>
      </c>
      <c r="V12" s="13">
        <v>0.75</v>
      </c>
      <c r="W12" s="13">
        <v>0.42</v>
      </c>
      <c r="X12" s="16">
        <v>0.65</v>
      </c>
      <c r="Y12" s="13">
        <v>0.83</v>
      </c>
      <c r="Z12" s="13">
        <v>0.54</v>
      </c>
      <c r="AA12" s="13">
        <v>0.75</v>
      </c>
      <c r="AB12" s="13">
        <v>0.64</v>
      </c>
      <c r="AC12" s="13">
        <v>0.75</v>
      </c>
      <c r="AD12" s="13">
        <v>0.42</v>
      </c>
      <c r="AE12" s="16">
        <v>0.67</v>
      </c>
      <c r="AF12" s="13">
        <v>0.83</v>
      </c>
      <c r="AG12" s="13">
        <v>0.56000000000000005</v>
      </c>
      <c r="AH12" s="13">
        <v>0.75</v>
      </c>
      <c r="AI12" s="13">
        <v>0.68</v>
      </c>
      <c r="AJ12" s="13">
        <v>0.75</v>
      </c>
      <c r="AK12" s="13">
        <v>0.42</v>
      </c>
      <c r="AL12" s="16">
        <v>0.67</v>
      </c>
      <c r="AM12" s="13">
        <v>0.83</v>
      </c>
      <c r="AN12" s="13">
        <v>0.57999999999999996</v>
      </c>
      <c r="AO12" s="13">
        <v>0.75</v>
      </c>
      <c r="AP12" s="13">
        <v>0.68</v>
      </c>
      <c r="AQ12" s="13">
        <v>0.75</v>
      </c>
      <c r="AR12" s="13">
        <v>0.42</v>
      </c>
      <c r="AS12" s="16">
        <v>0.67</v>
      </c>
      <c r="AT12" s="13">
        <v>0.83</v>
      </c>
      <c r="AU12" s="13">
        <v>0.56000000000000005</v>
      </c>
      <c r="AV12" s="13">
        <v>0.75</v>
      </c>
      <c r="AW12" s="13">
        <v>0.68</v>
      </c>
      <c r="AX12" s="13">
        <v>0.75</v>
      </c>
      <c r="AY12" s="13">
        <v>0.42</v>
      </c>
      <c r="AZ12" s="16">
        <v>0.64</v>
      </c>
      <c r="BA12" s="13">
        <v>0.83</v>
      </c>
      <c r="BB12" s="13">
        <v>0.57999999999999996</v>
      </c>
      <c r="BC12" s="13">
        <v>0.75</v>
      </c>
      <c r="BD12" s="13">
        <v>0.59</v>
      </c>
      <c r="BE12" s="13">
        <v>0.67</v>
      </c>
      <c r="BF12" s="13">
        <v>0.42</v>
      </c>
      <c r="BG12" s="16">
        <v>0.63</v>
      </c>
      <c r="BH12" s="13">
        <v>0.83</v>
      </c>
      <c r="BI12" s="13">
        <v>0.52</v>
      </c>
      <c r="BJ12" s="13">
        <v>0.75</v>
      </c>
      <c r="BK12" s="13">
        <v>0.59</v>
      </c>
      <c r="BL12" s="13">
        <v>0.67</v>
      </c>
      <c r="BM12" s="13">
        <v>0.42</v>
      </c>
      <c r="BN12" s="16">
        <v>0.63</v>
      </c>
      <c r="BO12" s="13">
        <v>0.83</v>
      </c>
      <c r="BP12" s="13">
        <v>0.54</v>
      </c>
      <c r="BQ12" s="13">
        <v>0.75</v>
      </c>
      <c r="BR12" s="13">
        <v>0.59</v>
      </c>
      <c r="BS12" s="13">
        <v>0.67</v>
      </c>
      <c r="BT12" s="13">
        <v>0.42</v>
      </c>
      <c r="BU12" s="16">
        <v>0.63</v>
      </c>
      <c r="BV12" s="13">
        <v>0.83</v>
      </c>
      <c r="BW12" s="13">
        <v>0.52</v>
      </c>
      <c r="BX12" s="13">
        <v>0.75</v>
      </c>
      <c r="BY12" s="13">
        <v>0.68</v>
      </c>
      <c r="BZ12" s="13">
        <v>0.67</v>
      </c>
      <c r="CA12" s="13">
        <v>0.33</v>
      </c>
      <c r="CB12" s="16">
        <v>0.65</v>
      </c>
      <c r="CC12" s="13">
        <v>0.83</v>
      </c>
      <c r="CD12" s="13">
        <v>0.55000000000000004</v>
      </c>
      <c r="CE12" s="13">
        <v>0.75</v>
      </c>
      <c r="CF12" s="13">
        <v>0.68</v>
      </c>
      <c r="CG12" s="13">
        <v>0.67</v>
      </c>
      <c r="CH12" s="13">
        <v>0.42</v>
      </c>
      <c r="CI12" s="16">
        <v>0.66</v>
      </c>
      <c r="CJ12" s="13">
        <v>0.83</v>
      </c>
      <c r="CK12" s="13">
        <v>0.62</v>
      </c>
      <c r="CL12" s="13">
        <v>0.75</v>
      </c>
      <c r="CM12" s="13">
        <v>0.68</v>
      </c>
      <c r="CN12" s="13">
        <v>0.67</v>
      </c>
      <c r="CO12" s="13">
        <v>0.42</v>
      </c>
      <c r="CP12" s="16">
        <v>0.65</v>
      </c>
      <c r="CQ12" s="13">
        <v>0.83</v>
      </c>
      <c r="CR12" s="13">
        <v>0.56999999999999995</v>
      </c>
      <c r="CS12" s="13">
        <v>0.75</v>
      </c>
      <c r="CT12" s="13">
        <v>0.68</v>
      </c>
      <c r="CU12" s="13">
        <v>0.67</v>
      </c>
      <c r="CV12" s="13">
        <v>0.42</v>
      </c>
      <c r="CW12" s="16">
        <v>0.65</v>
      </c>
      <c r="CX12" s="13">
        <v>0.83</v>
      </c>
      <c r="CY12" s="13">
        <v>0.56000000000000005</v>
      </c>
      <c r="CZ12" s="13">
        <v>0.75</v>
      </c>
      <c r="DA12" s="13">
        <v>0.68</v>
      </c>
      <c r="DB12" s="13">
        <v>0.67</v>
      </c>
      <c r="DC12" s="13">
        <v>0.42</v>
      </c>
      <c r="DD12" s="16">
        <v>0.66</v>
      </c>
      <c r="DE12" s="13">
        <v>0.83</v>
      </c>
      <c r="DF12" s="13">
        <v>0.6</v>
      </c>
      <c r="DG12" s="13">
        <v>0.75</v>
      </c>
      <c r="DH12" s="13">
        <v>0.68</v>
      </c>
      <c r="DI12" s="13">
        <v>0.67</v>
      </c>
      <c r="DJ12" s="13">
        <v>0.42</v>
      </c>
      <c r="DK12" s="16">
        <v>0.67</v>
      </c>
      <c r="DL12" s="13">
        <v>0.83</v>
      </c>
      <c r="DM12" s="13">
        <v>0.6</v>
      </c>
      <c r="DN12" s="13">
        <v>0.75</v>
      </c>
      <c r="DO12" s="13">
        <v>0.77</v>
      </c>
      <c r="DP12" s="13">
        <v>0.67</v>
      </c>
      <c r="DQ12" s="13">
        <v>0.42</v>
      </c>
      <c r="DR12" s="16">
        <v>0.67</v>
      </c>
      <c r="DS12" s="13">
        <v>0.83</v>
      </c>
      <c r="DT12" s="13">
        <v>0.64</v>
      </c>
      <c r="DU12" s="13">
        <v>0.75</v>
      </c>
      <c r="DV12" s="13">
        <v>0.73</v>
      </c>
      <c r="DW12" s="13">
        <v>0.67</v>
      </c>
      <c r="DX12" s="13">
        <v>0.42</v>
      </c>
      <c r="DY12" s="16">
        <v>0.63</v>
      </c>
      <c r="DZ12" s="13">
        <v>0.83</v>
      </c>
      <c r="EA12" s="13">
        <v>0.61</v>
      </c>
      <c r="EB12" s="13">
        <v>0.75</v>
      </c>
      <c r="EC12" s="13">
        <v>0.68</v>
      </c>
      <c r="ED12" s="13">
        <v>0.67</v>
      </c>
      <c r="EE12" s="13">
        <v>0.25</v>
      </c>
      <c r="EF12" s="16">
        <v>0.62</v>
      </c>
      <c r="EG12" s="13">
        <v>0.83</v>
      </c>
      <c r="EH12" s="13">
        <v>0.56000000000000005</v>
      </c>
      <c r="EI12" s="13">
        <v>0.75</v>
      </c>
      <c r="EJ12" s="13">
        <v>0.64</v>
      </c>
      <c r="EK12" s="13">
        <v>0.67</v>
      </c>
      <c r="EL12" s="13">
        <v>0.25</v>
      </c>
      <c r="EM12" s="16">
        <v>0.59</v>
      </c>
      <c r="EN12" s="13">
        <v>0.75</v>
      </c>
      <c r="EO12" s="13">
        <v>0.49</v>
      </c>
      <c r="EP12" s="13">
        <v>0.75</v>
      </c>
      <c r="EQ12" s="13">
        <v>0.36</v>
      </c>
      <c r="ER12" s="13">
        <v>0.67</v>
      </c>
      <c r="ES12" s="13">
        <v>0.5</v>
      </c>
      <c r="ET12" s="16">
        <v>0.62</v>
      </c>
      <c r="EU12" s="13">
        <v>0.83</v>
      </c>
      <c r="EV12" s="13">
        <v>0.57999999999999996</v>
      </c>
      <c r="EW12" s="13">
        <v>0.75</v>
      </c>
      <c r="EX12" s="13">
        <v>0.36</v>
      </c>
      <c r="EY12" s="13">
        <v>0.67</v>
      </c>
      <c r="EZ12" s="13">
        <v>0.5</v>
      </c>
    </row>
    <row r="13" spans="1:156" ht="14.4" x14ac:dyDescent="0.3">
      <c r="A13" s="3" t="s">
        <v>28</v>
      </c>
      <c r="B13" s="3" t="s">
        <v>27</v>
      </c>
      <c r="C13" s="16">
        <v>0.55000000000000004</v>
      </c>
      <c r="D13" s="13">
        <v>0.54</v>
      </c>
      <c r="E13" s="13">
        <v>0.62</v>
      </c>
      <c r="F13" s="13">
        <v>0.5</v>
      </c>
      <c r="G13" s="13">
        <v>0.64</v>
      </c>
      <c r="H13" s="13">
        <v>0.57999999999999996</v>
      </c>
      <c r="I13" s="13">
        <v>0.42</v>
      </c>
      <c r="J13" s="16">
        <v>0.56999999999999995</v>
      </c>
      <c r="K13" s="13">
        <v>0.54</v>
      </c>
      <c r="L13" s="13">
        <v>0.65</v>
      </c>
      <c r="M13" s="13">
        <v>0.5</v>
      </c>
      <c r="N13" s="13">
        <v>0.64</v>
      </c>
      <c r="O13" s="13">
        <v>0.57999999999999996</v>
      </c>
      <c r="P13" s="13">
        <v>0.5</v>
      </c>
      <c r="Q13" s="16">
        <v>0.56999999999999995</v>
      </c>
      <c r="R13" s="13">
        <v>0.57999999999999996</v>
      </c>
      <c r="S13" s="13">
        <v>0.63</v>
      </c>
      <c r="T13" s="13">
        <v>0.5</v>
      </c>
      <c r="U13" s="13">
        <v>0.59</v>
      </c>
      <c r="V13" s="13">
        <v>0.57999999999999996</v>
      </c>
      <c r="W13" s="13">
        <v>0.5</v>
      </c>
      <c r="X13" s="16">
        <v>0.56000000000000005</v>
      </c>
      <c r="Y13" s="13">
        <v>0.57999999999999996</v>
      </c>
      <c r="Z13" s="13">
        <v>0.62</v>
      </c>
      <c r="AA13" s="13">
        <v>0.5</v>
      </c>
      <c r="AB13" s="13">
        <v>0.59</v>
      </c>
      <c r="AC13" s="13">
        <v>0.57999999999999996</v>
      </c>
      <c r="AD13" s="13">
        <v>0.5</v>
      </c>
      <c r="AE13" s="16">
        <v>0.56999999999999995</v>
      </c>
      <c r="AF13" s="13">
        <v>0.57999999999999996</v>
      </c>
      <c r="AG13" s="13">
        <v>0.61</v>
      </c>
      <c r="AH13" s="13">
        <v>0.5</v>
      </c>
      <c r="AI13" s="13">
        <v>0.64</v>
      </c>
      <c r="AJ13" s="13">
        <v>0.57999999999999996</v>
      </c>
      <c r="AK13" s="13">
        <v>0.5</v>
      </c>
      <c r="AL13" s="16">
        <v>0.59</v>
      </c>
      <c r="AM13" s="13">
        <v>0.63</v>
      </c>
      <c r="AN13" s="13">
        <v>0.61</v>
      </c>
      <c r="AO13" s="13">
        <v>0.5</v>
      </c>
      <c r="AP13" s="13">
        <v>0.64</v>
      </c>
      <c r="AQ13" s="13">
        <v>0.67</v>
      </c>
      <c r="AR13" s="13">
        <v>0.5</v>
      </c>
      <c r="AS13" s="16">
        <v>0.61</v>
      </c>
      <c r="AT13" s="13">
        <v>0.63</v>
      </c>
      <c r="AU13" s="13">
        <v>0.62</v>
      </c>
      <c r="AV13" s="13">
        <v>0.5</v>
      </c>
      <c r="AW13" s="13">
        <v>0.73</v>
      </c>
      <c r="AX13" s="13">
        <v>0.67</v>
      </c>
      <c r="AY13" s="13">
        <v>0.5</v>
      </c>
      <c r="AZ13" s="16">
        <v>0.61</v>
      </c>
      <c r="BA13" s="13">
        <v>0.63</v>
      </c>
      <c r="BB13" s="13">
        <v>0.62</v>
      </c>
      <c r="BC13" s="13">
        <v>0.5</v>
      </c>
      <c r="BD13" s="13">
        <v>0.73</v>
      </c>
      <c r="BE13" s="13">
        <v>0.67</v>
      </c>
      <c r="BF13" s="13">
        <v>0.5</v>
      </c>
      <c r="BG13" s="16">
        <v>0.6</v>
      </c>
      <c r="BH13" s="13">
        <v>0.63</v>
      </c>
      <c r="BI13" s="13">
        <v>0.69</v>
      </c>
      <c r="BJ13" s="13">
        <v>0.5</v>
      </c>
      <c r="BK13" s="13">
        <v>0.73</v>
      </c>
      <c r="BL13" s="13">
        <v>0.67</v>
      </c>
      <c r="BM13" s="13">
        <v>0.42</v>
      </c>
      <c r="BN13" s="16">
        <v>0.59</v>
      </c>
      <c r="BO13" s="13">
        <v>0.63</v>
      </c>
      <c r="BP13" s="13">
        <v>0.66</v>
      </c>
      <c r="BQ13" s="13">
        <v>0.5</v>
      </c>
      <c r="BR13" s="13">
        <v>0.68</v>
      </c>
      <c r="BS13" s="13">
        <v>0.67</v>
      </c>
      <c r="BT13" s="13">
        <v>0.42</v>
      </c>
      <c r="BU13" s="16">
        <v>0.63</v>
      </c>
      <c r="BV13" s="13">
        <v>0.63</v>
      </c>
      <c r="BW13" s="13">
        <v>0.67</v>
      </c>
      <c r="BX13" s="13">
        <v>0.5</v>
      </c>
      <c r="BY13" s="13">
        <v>0.82</v>
      </c>
      <c r="BZ13" s="13">
        <v>0.67</v>
      </c>
      <c r="CA13" s="13">
        <v>0.5</v>
      </c>
      <c r="CB13" s="16">
        <v>0.65</v>
      </c>
      <c r="CC13" s="13">
        <v>0.67</v>
      </c>
      <c r="CD13" s="13">
        <v>0.76</v>
      </c>
      <c r="CE13" s="13">
        <v>0.5</v>
      </c>
      <c r="CF13" s="13">
        <v>0.82</v>
      </c>
      <c r="CG13" s="13">
        <v>0.67</v>
      </c>
      <c r="CH13" s="13">
        <v>0.5</v>
      </c>
      <c r="CI13" s="16">
        <v>0.66</v>
      </c>
      <c r="CJ13" s="13">
        <v>0.67</v>
      </c>
      <c r="CK13" s="13">
        <v>0.8</v>
      </c>
      <c r="CL13" s="13">
        <v>0.5</v>
      </c>
      <c r="CM13" s="13">
        <v>0.82</v>
      </c>
      <c r="CN13" s="13">
        <v>0.67</v>
      </c>
      <c r="CO13" s="13">
        <v>0.5</v>
      </c>
      <c r="CP13" s="16">
        <v>0.66</v>
      </c>
      <c r="CQ13" s="13">
        <v>0.67</v>
      </c>
      <c r="CR13" s="13">
        <v>0.82</v>
      </c>
      <c r="CS13" s="13">
        <v>0.5</v>
      </c>
      <c r="CT13" s="13">
        <v>0.82</v>
      </c>
      <c r="CU13" s="13">
        <v>0.67</v>
      </c>
      <c r="CV13" s="13">
        <v>0.5</v>
      </c>
      <c r="CW13" s="16">
        <v>0.67</v>
      </c>
      <c r="CX13" s="13">
        <v>0.67</v>
      </c>
      <c r="CY13" s="13">
        <v>0.85</v>
      </c>
      <c r="CZ13" s="13">
        <v>0.5</v>
      </c>
      <c r="DA13" s="13">
        <v>0.82</v>
      </c>
      <c r="DB13" s="13">
        <v>0.67</v>
      </c>
      <c r="DC13" s="13">
        <v>0.5</v>
      </c>
      <c r="DD13" s="16">
        <v>0.69</v>
      </c>
      <c r="DE13" s="13">
        <v>0.79</v>
      </c>
      <c r="DF13" s="13">
        <v>0.86</v>
      </c>
      <c r="DG13" s="13">
        <v>0.5</v>
      </c>
      <c r="DH13" s="13">
        <v>0.82</v>
      </c>
      <c r="DI13" s="13">
        <v>0.67</v>
      </c>
      <c r="DJ13" s="13">
        <v>0.5</v>
      </c>
      <c r="DK13" s="16">
        <v>0.68</v>
      </c>
      <c r="DL13" s="13">
        <v>0.79</v>
      </c>
      <c r="DM13" s="13">
        <v>0.83</v>
      </c>
      <c r="DN13" s="13">
        <v>0.5</v>
      </c>
      <c r="DO13" s="13">
        <v>0.82</v>
      </c>
      <c r="DP13" s="13">
        <v>0.67</v>
      </c>
      <c r="DQ13" s="13">
        <v>0.5</v>
      </c>
      <c r="DR13" s="16">
        <v>0.68</v>
      </c>
      <c r="DS13" s="13">
        <v>0.79</v>
      </c>
      <c r="DT13" s="13">
        <v>0.83</v>
      </c>
      <c r="DU13" s="13">
        <v>0.5</v>
      </c>
      <c r="DV13" s="13">
        <v>0.77</v>
      </c>
      <c r="DW13" s="13">
        <v>0.67</v>
      </c>
      <c r="DX13" s="13">
        <v>0.5</v>
      </c>
      <c r="DY13" s="16">
        <v>0.67</v>
      </c>
      <c r="DZ13" s="13">
        <v>0.79</v>
      </c>
      <c r="EA13" s="13">
        <v>0.8</v>
      </c>
      <c r="EB13" s="13">
        <v>0.5</v>
      </c>
      <c r="EC13" s="13">
        <v>0.77</v>
      </c>
      <c r="ED13" s="13">
        <v>0.67</v>
      </c>
      <c r="EE13" s="13">
        <v>0.5</v>
      </c>
      <c r="EF13" s="16">
        <v>0.66</v>
      </c>
      <c r="EG13" s="13">
        <v>0.75</v>
      </c>
      <c r="EH13" s="13">
        <v>0.79</v>
      </c>
      <c r="EI13" s="13">
        <v>0.5</v>
      </c>
      <c r="EJ13" s="13">
        <v>0.77</v>
      </c>
      <c r="EK13" s="13">
        <v>0.67</v>
      </c>
      <c r="EL13" s="13">
        <v>0.5</v>
      </c>
      <c r="EM13" s="16">
        <v>0.67</v>
      </c>
      <c r="EN13" s="13">
        <v>0.75</v>
      </c>
      <c r="EO13" s="13">
        <v>0.78</v>
      </c>
      <c r="EP13" s="13">
        <v>0.5</v>
      </c>
      <c r="EQ13" s="13">
        <v>0.82</v>
      </c>
      <c r="ER13" s="13">
        <v>0.67</v>
      </c>
      <c r="ES13" s="13">
        <v>0.5</v>
      </c>
      <c r="ET13" s="16">
        <v>0.71</v>
      </c>
      <c r="EU13" s="13">
        <v>0.75</v>
      </c>
      <c r="EV13" s="13">
        <v>0.84</v>
      </c>
      <c r="EW13" s="13">
        <v>0.5</v>
      </c>
      <c r="EX13" s="13">
        <v>0.82</v>
      </c>
      <c r="EY13" s="13">
        <v>0.67</v>
      </c>
      <c r="EZ13" s="13">
        <v>0.67</v>
      </c>
    </row>
    <row r="14" spans="1:156" ht="14.4" x14ac:dyDescent="0.3">
      <c r="A14" s="3" t="s">
        <v>30</v>
      </c>
      <c r="B14" s="3" t="s">
        <v>29</v>
      </c>
      <c r="C14" s="16">
        <v>0.57999999999999996</v>
      </c>
      <c r="D14" s="13">
        <v>0.71</v>
      </c>
      <c r="E14" s="13">
        <v>0.59</v>
      </c>
      <c r="F14" s="13">
        <v>0.63</v>
      </c>
      <c r="G14" s="13">
        <v>0.55000000000000004</v>
      </c>
      <c r="H14" s="13">
        <v>0.57999999999999996</v>
      </c>
      <c r="I14" s="13">
        <v>0.42</v>
      </c>
      <c r="J14" s="16">
        <v>0.56000000000000005</v>
      </c>
      <c r="K14" s="13">
        <v>0.71</v>
      </c>
      <c r="L14" s="13">
        <v>0.63</v>
      </c>
      <c r="M14" s="13">
        <v>0.63</v>
      </c>
      <c r="N14" s="13">
        <v>0.5</v>
      </c>
      <c r="O14" s="13">
        <v>0.5</v>
      </c>
      <c r="P14" s="13">
        <v>0.42</v>
      </c>
      <c r="Q14" s="16">
        <v>0.59</v>
      </c>
      <c r="R14" s="13">
        <v>0.71</v>
      </c>
      <c r="S14" s="13">
        <v>0.59</v>
      </c>
      <c r="T14" s="13">
        <v>0.63</v>
      </c>
      <c r="U14" s="13">
        <v>0.68</v>
      </c>
      <c r="V14" s="13">
        <v>0.5</v>
      </c>
      <c r="W14" s="13">
        <v>0.42</v>
      </c>
      <c r="X14" s="16">
        <v>0.55000000000000004</v>
      </c>
      <c r="Y14" s="13">
        <v>0.71</v>
      </c>
      <c r="Z14" s="13">
        <v>0.6</v>
      </c>
      <c r="AA14" s="13">
        <v>0.5</v>
      </c>
      <c r="AB14" s="13">
        <v>0.68</v>
      </c>
      <c r="AC14" s="13">
        <v>0.5</v>
      </c>
      <c r="AD14" s="13">
        <v>0.33</v>
      </c>
      <c r="AE14" s="16">
        <v>0.54</v>
      </c>
      <c r="AF14" s="13">
        <v>0.71</v>
      </c>
      <c r="AG14" s="13">
        <v>0.6</v>
      </c>
      <c r="AH14" s="13">
        <v>0.5</v>
      </c>
      <c r="AI14" s="13">
        <v>0.68</v>
      </c>
      <c r="AJ14" s="13">
        <v>0.5</v>
      </c>
      <c r="AK14" s="13">
        <v>0.25</v>
      </c>
      <c r="AL14" s="16">
        <v>0.53</v>
      </c>
      <c r="AM14" s="13">
        <v>0.75</v>
      </c>
      <c r="AN14" s="13">
        <v>0.63</v>
      </c>
      <c r="AO14" s="13">
        <v>0.5</v>
      </c>
      <c r="AP14" s="13">
        <v>0.64</v>
      </c>
      <c r="AQ14" s="13">
        <v>0.33</v>
      </c>
      <c r="AR14" s="13">
        <v>0.33</v>
      </c>
      <c r="AS14" s="16">
        <v>0.51</v>
      </c>
      <c r="AT14" s="13">
        <v>0.75</v>
      </c>
      <c r="AU14" s="13">
        <v>0.59</v>
      </c>
      <c r="AV14" s="13">
        <v>0.5</v>
      </c>
      <c r="AW14" s="13">
        <v>0.64</v>
      </c>
      <c r="AX14" s="13">
        <v>0.33</v>
      </c>
      <c r="AY14" s="13">
        <v>0.25</v>
      </c>
      <c r="AZ14" s="16">
        <v>0.51</v>
      </c>
      <c r="BA14" s="13">
        <v>0.75</v>
      </c>
      <c r="BB14" s="13">
        <v>0.62</v>
      </c>
      <c r="BC14" s="13">
        <v>0.5</v>
      </c>
      <c r="BD14" s="13">
        <v>0.59</v>
      </c>
      <c r="BE14" s="13">
        <v>0.33</v>
      </c>
      <c r="BF14" s="13">
        <v>0.25</v>
      </c>
      <c r="BG14" s="16">
        <v>0.5</v>
      </c>
      <c r="BH14" s="13">
        <v>0.75</v>
      </c>
      <c r="BI14" s="13">
        <v>0.59</v>
      </c>
      <c r="BJ14" s="13">
        <v>0.5</v>
      </c>
      <c r="BK14" s="13">
        <v>0.59</v>
      </c>
      <c r="BL14" s="13">
        <v>0.33</v>
      </c>
      <c r="BM14" s="13">
        <v>0.25</v>
      </c>
      <c r="BN14" s="16">
        <v>0.49</v>
      </c>
      <c r="BO14" s="13">
        <v>0.79</v>
      </c>
      <c r="BP14" s="13">
        <v>0.55000000000000004</v>
      </c>
      <c r="BQ14" s="13">
        <v>0.5</v>
      </c>
      <c r="BR14" s="13">
        <v>0.55000000000000004</v>
      </c>
      <c r="BS14" s="13">
        <v>0.33</v>
      </c>
      <c r="BT14" s="13">
        <v>0.25</v>
      </c>
      <c r="BU14" s="16">
        <v>0.51</v>
      </c>
      <c r="BV14" s="13">
        <v>0.79</v>
      </c>
      <c r="BW14" s="13">
        <v>0.56000000000000005</v>
      </c>
      <c r="BX14" s="13">
        <v>0.5</v>
      </c>
      <c r="BY14" s="13">
        <v>0.55000000000000004</v>
      </c>
      <c r="BZ14" s="13">
        <v>0.33</v>
      </c>
      <c r="CA14" s="13">
        <v>0.33</v>
      </c>
      <c r="CB14" s="16">
        <v>0.55000000000000004</v>
      </c>
      <c r="CC14" s="13">
        <v>0.79</v>
      </c>
      <c r="CD14" s="13">
        <v>0.59</v>
      </c>
      <c r="CE14" s="13">
        <v>0.5</v>
      </c>
      <c r="CF14" s="13">
        <v>0.77</v>
      </c>
      <c r="CG14" s="13">
        <v>0.33</v>
      </c>
      <c r="CH14" s="13">
        <v>0.33</v>
      </c>
      <c r="CI14" s="16">
        <v>0.5</v>
      </c>
      <c r="CJ14" s="13">
        <v>0.75</v>
      </c>
      <c r="CK14" s="13">
        <v>0.56000000000000005</v>
      </c>
      <c r="CL14" s="13">
        <v>0.5</v>
      </c>
      <c r="CM14" s="13">
        <v>0.77</v>
      </c>
      <c r="CN14" s="13">
        <v>0.33</v>
      </c>
      <c r="CO14" s="13">
        <v>0.08</v>
      </c>
      <c r="CP14" s="16">
        <v>0.51</v>
      </c>
      <c r="CQ14" s="13">
        <v>0.75</v>
      </c>
      <c r="CR14" s="13">
        <v>0.64</v>
      </c>
      <c r="CS14" s="13">
        <v>0.5</v>
      </c>
      <c r="CT14" s="13">
        <v>0.77</v>
      </c>
      <c r="CU14" s="13">
        <v>0.33</v>
      </c>
      <c r="CV14" s="13">
        <v>0.08</v>
      </c>
      <c r="CW14" s="16">
        <v>0.51</v>
      </c>
      <c r="CX14" s="13">
        <v>0.79</v>
      </c>
      <c r="CY14" s="13">
        <v>0.57999999999999996</v>
      </c>
      <c r="CZ14" s="13">
        <v>0.5</v>
      </c>
      <c r="DA14" s="13">
        <v>0.77</v>
      </c>
      <c r="DB14" s="13">
        <v>0.33</v>
      </c>
      <c r="DC14" s="13">
        <v>0.08</v>
      </c>
      <c r="DD14" s="16">
        <v>0.52</v>
      </c>
      <c r="DE14" s="13">
        <v>0.79</v>
      </c>
      <c r="DF14" s="13">
        <v>0.57999999999999996</v>
      </c>
      <c r="DG14" s="13">
        <v>0.5</v>
      </c>
      <c r="DH14" s="13">
        <v>0.77</v>
      </c>
      <c r="DI14" s="13">
        <v>0.42</v>
      </c>
      <c r="DJ14" s="13">
        <v>0.08</v>
      </c>
      <c r="DK14" s="16">
        <v>0.52</v>
      </c>
      <c r="DL14" s="13">
        <v>0.79</v>
      </c>
      <c r="DM14" s="13">
        <v>0.57999999999999996</v>
      </c>
      <c r="DN14" s="13">
        <v>0.5</v>
      </c>
      <c r="DO14" s="13">
        <v>0.77</v>
      </c>
      <c r="DP14" s="13">
        <v>0.42</v>
      </c>
      <c r="DQ14" s="13">
        <v>0.08</v>
      </c>
      <c r="DR14" s="16">
        <v>0.54</v>
      </c>
      <c r="DS14" s="13">
        <v>0.71</v>
      </c>
      <c r="DT14" s="13">
        <v>0.65</v>
      </c>
      <c r="DU14" s="13">
        <v>0.5</v>
      </c>
      <c r="DV14" s="13">
        <v>0.77</v>
      </c>
      <c r="DW14" s="13">
        <v>0.33</v>
      </c>
      <c r="DX14" s="13">
        <v>0.25</v>
      </c>
      <c r="DY14" s="16">
        <v>0.6</v>
      </c>
      <c r="DZ14" s="13">
        <v>0.71</v>
      </c>
      <c r="EA14" s="13">
        <v>0.68</v>
      </c>
      <c r="EB14" s="13">
        <v>0.5</v>
      </c>
      <c r="EC14" s="13">
        <v>0.77</v>
      </c>
      <c r="ED14" s="13">
        <v>0.33</v>
      </c>
      <c r="EE14" s="13">
        <v>0.57999999999999996</v>
      </c>
      <c r="EF14" s="16">
        <v>0.47</v>
      </c>
      <c r="EG14" s="13">
        <v>0.5</v>
      </c>
      <c r="EH14" s="13">
        <v>0.51</v>
      </c>
      <c r="EI14" s="13">
        <v>0.5</v>
      </c>
      <c r="EJ14" s="13">
        <v>0.73</v>
      </c>
      <c r="EK14" s="13">
        <v>0.25</v>
      </c>
      <c r="EL14" s="13">
        <v>0.33</v>
      </c>
      <c r="EM14" s="16">
        <v>0.47</v>
      </c>
      <c r="EN14" s="13">
        <v>0.5</v>
      </c>
      <c r="EO14" s="13">
        <v>0.63</v>
      </c>
      <c r="EP14" s="13">
        <v>0.5</v>
      </c>
      <c r="EQ14" s="13">
        <v>0.55000000000000004</v>
      </c>
      <c r="ER14" s="13">
        <v>0.33</v>
      </c>
      <c r="ES14" s="13">
        <v>0.33</v>
      </c>
      <c r="ET14" s="16">
        <v>0.48</v>
      </c>
      <c r="EU14" s="13">
        <v>0.5</v>
      </c>
      <c r="EV14" s="13">
        <v>0.69</v>
      </c>
      <c r="EW14" s="13">
        <v>0.5</v>
      </c>
      <c r="EX14" s="13">
        <v>0.55000000000000004</v>
      </c>
      <c r="EY14" s="13">
        <v>0.33</v>
      </c>
      <c r="EZ14" s="13">
        <v>0.33</v>
      </c>
    </row>
    <row r="15" spans="1:156" ht="14.4" x14ac:dyDescent="0.3">
      <c r="A15" s="3" t="s">
        <v>32</v>
      </c>
      <c r="B15" s="3" t="s">
        <v>31</v>
      </c>
      <c r="C15" s="16">
        <v>0.49</v>
      </c>
      <c r="D15" s="13">
        <v>0.54</v>
      </c>
      <c r="E15" s="13">
        <v>0.63</v>
      </c>
      <c r="F15" s="13">
        <v>0.5</v>
      </c>
      <c r="G15" s="13">
        <v>0.55000000000000004</v>
      </c>
      <c r="H15" s="13">
        <v>0.5</v>
      </c>
      <c r="I15" s="13">
        <v>0.25</v>
      </c>
      <c r="J15" s="16">
        <v>0.48</v>
      </c>
      <c r="K15" s="13">
        <v>0.54</v>
      </c>
      <c r="L15" s="13">
        <v>0.57999999999999996</v>
      </c>
      <c r="M15" s="13">
        <v>0.5</v>
      </c>
      <c r="N15" s="13">
        <v>0.5</v>
      </c>
      <c r="O15" s="13">
        <v>0.5</v>
      </c>
      <c r="P15" s="13">
        <v>0.25</v>
      </c>
      <c r="Q15" s="16">
        <v>0.52</v>
      </c>
      <c r="R15" s="13">
        <v>0.54</v>
      </c>
      <c r="S15" s="13">
        <v>0.59</v>
      </c>
      <c r="T15" s="13">
        <v>0.5</v>
      </c>
      <c r="U15" s="13">
        <v>0.55000000000000004</v>
      </c>
      <c r="V15" s="13">
        <v>0.67</v>
      </c>
      <c r="W15" s="13">
        <v>0.25</v>
      </c>
      <c r="X15" s="16">
        <v>0.52</v>
      </c>
      <c r="Y15" s="13">
        <v>0.54</v>
      </c>
      <c r="Z15" s="13">
        <v>0.56000000000000005</v>
      </c>
      <c r="AA15" s="13">
        <v>0.5</v>
      </c>
      <c r="AB15" s="13">
        <v>0.59</v>
      </c>
      <c r="AC15" s="13">
        <v>0.67</v>
      </c>
      <c r="AD15" s="13">
        <v>0.25</v>
      </c>
      <c r="AE15" s="16">
        <v>0.54</v>
      </c>
      <c r="AF15" s="13">
        <v>0.54</v>
      </c>
      <c r="AG15" s="13">
        <v>0.56999999999999995</v>
      </c>
      <c r="AH15" s="13">
        <v>0.5</v>
      </c>
      <c r="AI15" s="13">
        <v>0.68</v>
      </c>
      <c r="AJ15" s="13">
        <v>0.67</v>
      </c>
      <c r="AK15" s="13">
        <v>0.25</v>
      </c>
      <c r="AL15" s="16">
        <v>0.55000000000000004</v>
      </c>
      <c r="AM15" s="13">
        <v>0.54</v>
      </c>
      <c r="AN15" s="13">
        <v>0.56000000000000005</v>
      </c>
      <c r="AO15" s="13">
        <v>0.5</v>
      </c>
      <c r="AP15" s="13">
        <v>0.68</v>
      </c>
      <c r="AQ15" s="13">
        <v>0.67</v>
      </c>
      <c r="AR15" s="13">
        <v>0.33</v>
      </c>
      <c r="AS15" s="16">
        <v>0.55000000000000004</v>
      </c>
      <c r="AT15" s="13">
        <v>0.57999999999999996</v>
      </c>
      <c r="AU15" s="13">
        <v>0.56999999999999995</v>
      </c>
      <c r="AV15" s="13">
        <v>0.5</v>
      </c>
      <c r="AW15" s="13">
        <v>0.64</v>
      </c>
      <c r="AX15" s="13">
        <v>0.67</v>
      </c>
      <c r="AY15" s="13">
        <v>0.33</v>
      </c>
      <c r="AZ15" s="16">
        <v>0.52</v>
      </c>
      <c r="BA15" s="13">
        <v>0.57999999999999996</v>
      </c>
      <c r="BB15" s="13">
        <v>0.55000000000000004</v>
      </c>
      <c r="BC15" s="13">
        <v>0.5</v>
      </c>
      <c r="BD15" s="13">
        <v>0.55000000000000004</v>
      </c>
      <c r="BE15" s="13">
        <v>0.67</v>
      </c>
      <c r="BF15" s="13">
        <v>0.25</v>
      </c>
      <c r="BG15" s="16">
        <v>0.52</v>
      </c>
      <c r="BH15" s="13">
        <v>0.57999999999999996</v>
      </c>
      <c r="BI15" s="13">
        <v>0.56000000000000005</v>
      </c>
      <c r="BJ15" s="13">
        <v>0.5</v>
      </c>
      <c r="BK15" s="13">
        <v>0.55000000000000004</v>
      </c>
      <c r="BL15" s="13">
        <v>0.67</v>
      </c>
      <c r="BM15" s="13">
        <v>0.25</v>
      </c>
      <c r="BN15" s="16">
        <v>0.52</v>
      </c>
      <c r="BO15" s="13">
        <v>0.57999999999999996</v>
      </c>
      <c r="BP15" s="13">
        <v>0.56999999999999995</v>
      </c>
      <c r="BQ15" s="13">
        <v>0.5</v>
      </c>
      <c r="BR15" s="13">
        <v>0.55000000000000004</v>
      </c>
      <c r="BS15" s="13">
        <v>0.67</v>
      </c>
      <c r="BT15" s="13">
        <v>0.25</v>
      </c>
      <c r="BU15" s="16">
        <v>0.54</v>
      </c>
      <c r="BV15" s="13">
        <v>0.57999999999999996</v>
      </c>
      <c r="BW15" s="13">
        <v>0.57999999999999996</v>
      </c>
      <c r="BX15" s="13">
        <v>0.5</v>
      </c>
      <c r="BY15" s="13">
        <v>0.59</v>
      </c>
      <c r="BZ15" s="13">
        <v>0.67</v>
      </c>
      <c r="CA15" s="13">
        <v>0.33</v>
      </c>
      <c r="CB15" s="16">
        <v>0.56999999999999995</v>
      </c>
      <c r="CC15" s="13">
        <v>0.57999999999999996</v>
      </c>
      <c r="CD15" s="13">
        <v>0.64</v>
      </c>
      <c r="CE15" s="13">
        <v>0.5</v>
      </c>
      <c r="CF15" s="13">
        <v>0.68</v>
      </c>
      <c r="CG15" s="13">
        <v>0.67</v>
      </c>
      <c r="CH15" s="13">
        <v>0.33</v>
      </c>
      <c r="CI15" s="16">
        <v>0.54</v>
      </c>
      <c r="CJ15" s="13">
        <v>0.57999999999999996</v>
      </c>
      <c r="CK15" s="13">
        <v>0.64</v>
      </c>
      <c r="CL15" s="13">
        <v>0.5</v>
      </c>
      <c r="CM15" s="13">
        <v>0.68</v>
      </c>
      <c r="CN15" s="13">
        <v>0.67</v>
      </c>
      <c r="CO15" s="13">
        <v>0.17</v>
      </c>
      <c r="CP15" s="16">
        <v>0.54</v>
      </c>
      <c r="CQ15" s="13">
        <v>0.57999999999999996</v>
      </c>
      <c r="CR15" s="13">
        <v>0.63</v>
      </c>
      <c r="CS15" s="13">
        <v>0.5</v>
      </c>
      <c r="CT15" s="13">
        <v>0.68</v>
      </c>
      <c r="CU15" s="13">
        <v>0.67</v>
      </c>
      <c r="CV15" s="13">
        <v>0.17</v>
      </c>
      <c r="CW15" s="16">
        <v>0.54</v>
      </c>
      <c r="CX15" s="13">
        <v>0.57999999999999996</v>
      </c>
      <c r="CY15" s="13">
        <v>0.63</v>
      </c>
      <c r="CZ15" s="13">
        <v>0.5</v>
      </c>
      <c r="DA15" s="13">
        <v>0.68</v>
      </c>
      <c r="DB15" s="13">
        <v>0.67</v>
      </c>
      <c r="DC15" s="13">
        <v>0.17</v>
      </c>
      <c r="DD15" s="16">
        <v>0.53</v>
      </c>
      <c r="DE15" s="13">
        <v>0.57999999999999996</v>
      </c>
      <c r="DF15" s="13">
        <v>0.59</v>
      </c>
      <c r="DG15" s="13">
        <v>0.5</v>
      </c>
      <c r="DH15" s="13">
        <v>0.68</v>
      </c>
      <c r="DI15" s="13">
        <v>0.67</v>
      </c>
      <c r="DJ15" s="13">
        <v>0.17</v>
      </c>
      <c r="DK15" s="16">
        <v>0.55000000000000004</v>
      </c>
      <c r="DL15" s="13">
        <v>0.57999999999999996</v>
      </c>
      <c r="DM15" s="13">
        <v>0.67</v>
      </c>
      <c r="DN15" s="13">
        <v>0.5</v>
      </c>
      <c r="DO15" s="13">
        <v>0.68</v>
      </c>
      <c r="DP15" s="13">
        <v>0.67</v>
      </c>
      <c r="DQ15" s="13">
        <v>0.17</v>
      </c>
      <c r="DR15" s="16">
        <v>0.56000000000000005</v>
      </c>
      <c r="DS15" s="13">
        <v>0.57999999999999996</v>
      </c>
      <c r="DT15" s="13">
        <v>0.69</v>
      </c>
      <c r="DU15" s="13">
        <v>0.5</v>
      </c>
      <c r="DV15" s="13">
        <v>0.77</v>
      </c>
      <c r="DW15" s="13">
        <v>0.67</v>
      </c>
      <c r="DX15" s="13">
        <v>0.17</v>
      </c>
      <c r="DY15" s="16">
        <v>0.55000000000000004</v>
      </c>
      <c r="DZ15" s="13">
        <v>0.57999999999999996</v>
      </c>
      <c r="EA15" s="13">
        <v>0.67</v>
      </c>
      <c r="EB15" s="13">
        <v>0.5</v>
      </c>
      <c r="EC15" s="13">
        <v>0.73</v>
      </c>
      <c r="ED15" s="13">
        <v>0.67</v>
      </c>
      <c r="EE15" s="13">
        <v>0.17</v>
      </c>
      <c r="EF15" s="16">
        <v>0.55000000000000004</v>
      </c>
      <c r="EG15" s="13">
        <v>0.57999999999999996</v>
      </c>
      <c r="EH15" s="13">
        <v>0.67</v>
      </c>
      <c r="EI15" s="13">
        <v>0.5</v>
      </c>
      <c r="EJ15" s="13">
        <v>0.73</v>
      </c>
      <c r="EK15" s="13">
        <v>0.67</v>
      </c>
      <c r="EL15" s="13">
        <v>0.17</v>
      </c>
      <c r="EM15" s="16">
        <v>0.55000000000000004</v>
      </c>
      <c r="EN15" s="13">
        <v>0.67</v>
      </c>
      <c r="EO15" s="13">
        <v>0.78</v>
      </c>
      <c r="EP15" s="13">
        <v>0.5</v>
      </c>
      <c r="EQ15" s="13">
        <v>0.55000000000000004</v>
      </c>
      <c r="ER15" s="13">
        <v>0.67</v>
      </c>
      <c r="ES15" s="13">
        <v>0.17</v>
      </c>
      <c r="ET15" s="16">
        <v>0.52</v>
      </c>
      <c r="EU15" s="13">
        <v>0.67</v>
      </c>
      <c r="EV15" s="13">
        <v>0.66</v>
      </c>
      <c r="EW15" s="13">
        <v>0.5</v>
      </c>
      <c r="EX15" s="13">
        <v>0.45</v>
      </c>
      <c r="EY15" s="13">
        <v>0.67</v>
      </c>
      <c r="EZ15" s="13">
        <v>0.17</v>
      </c>
    </row>
    <row r="16" spans="1:156" ht="14.4" x14ac:dyDescent="0.3">
      <c r="A16" s="3" t="s">
        <v>34</v>
      </c>
      <c r="B16" s="3" t="s">
        <v>33</v>
      </c>
      <c r="C16" s="16">
        <v>0.61</v>
      </c>
      <c r="D16" s="13">
        <v>0.75</v>
      </c>
      <c r="E16" s="13">
        <v>0.63</v>
      </c>
      <c r="F16" s="13">
        <v>0.5</v>
      </c>
      <c r="G16" s="13">
        <v>0.59</v>
      </c>
      <c r="H16" s="13">
        <v>0.67</v>
      </c>
      <c r="I16" s="13">
        <v>0.5</v>
      </c>
      <c r="J16" s="16">
        <v>0.6</v>
      </c>
      <c r="K16" s="13">
        <v>0.71</v>
      </c>
      <c r="L16" s="13">
        <v>0.65</v>
      </c>
      <c r="M16" s="13">
        <v>0.5</v>
      </c>
      <c r="N16" s="13">
        <v>0.59</v>
      </c>
      <c r="O16" s="13">
        <v>0.67</v>
      </c>
      <c r="P16" s="13">
        <v>0.5</v>
      </c>
      <c r="Q16" s="16">
        <v>0.6</v>
      </c>
      <c r="R16" s="13">
        <v>0.71</v>
      </c>
      <c r="S16" s="13">
        <v>0.64</v>
      </c>
      <c r="T16" s="13">
        <v>0.5</v>
      </c>
      <c r="U16" s="13">
        <v>0.59</v>
      </c>
      <c r="V16" s="13">
        <v>0.67</v>
      </c>
      <c r="W16" s="13">
        <v>0.5</v>
      </c>
      <c r="X16" s="16">
        <v>0.59</v>
      </c>
      <c r="Y16" s="13">
        <v>0.71</v>
      </c>
      <c r="Z16" s="13">
        <v>0.64</v>
      </c>
      <c r="AA16" s="13">
        <v>0.5</v>
      </c>
      <c r="AB16" s="13">
        <v>0.55000000000000004</v>
      </c>
      <c r="AC16" s="13">
        <v>0.67</v>
      </c>
      <c r="AD16" s="13">
        <v>0.5</v>
      </c>
      <c r="AE16" s="16">
        <v>0.6</v>
      </c>
      <c r="AF16" s="13">
        <v>0.71</v>
      </c>
      <c r="AG16" s="13">
        <v>0.65</v>
      </c>
      <c r="AH16" s="13">
        <v>0.5</v>
      </c>
      <c r="AI16" s="13">
        <v>0.59</v>
      </c>
      <c r="AJ16" s="13">
        <v>0.67</v>
      </c>
      <c r="AK16" s="13">
        <v>0.5</v>
      </c>
      <c r="AL16" s="16">
        <v>0.61</v>
      </c>
      <c r="AM16" s="13">
        <v>0.71</v>
      </c>
      <c r="AN16" s="13">
        <v>0.66</v>
      </c>
      <c r="AO16" s="13">
        <v>0.5</v>
      </c>
      <c r="AP16" s="13">
        <v>0.64</v>
      </c>
      <c r="AQ16" s="13">
        <v>0.67</v>
      </c>
      <c r="AR16" s="13">
        <v>0.5</v>
      </c>
      <c r="AS16" s="16">
        <v>0.61</v>
      </c>
      <c r="AT16" s="13">
        <v>0.71</v>
      </c>
      <c r="AU16" s="13">
        <v>0.68</v>
      </c>
      <c r="AV16" s="13">
        <v>0.5</v>
      </c>
      <c r="AW16" s="13">
        <v>0.64</v>
      </c>
      <c r="AX16" s="13">
        <v>0.75</v>
      </c>
      <c r="AY16" s="13">
        <v>0.42</v>
      </c>
      <c r="AZ16" s="16">
        <v>0.61</v>
      </c>
      <c r="BA16" s="13">
        <v>0.71</v>
      </c>
      <c r="BB16" s="13">
        <v>0.64</v>
      </c>
      <c r="BC16" s="13">
        <v>0.5</v>
      </c>
      <c r="BD16" s="13">
        <v>0.64</v>
      </c>
      <c r="BE16" s="13">
        <v>0.75</v>
      </c>
      <c r="BF16" s="13">
        <v>0.42</v>
      </c>
      <c r="BG16" s="16">
        <v>0.61</v>
      </c>
      <c r="BH16" s="13">
        <v>0.71</v>
      </c>
      <c r="BI16" s="13">
        <v>0.64</v>
      </c>
      <c r="BJ16" s="13">
        <v>0.5</v>
      </c>
      <c r="BK16" s="13">
        <v>0.73</v>
      </c>
      <c r="BL16" s="13">
        <v>0.75</v>
      </c>
      <c r="BM16" s="13">
        <v>0.33</v>
      </c>
      <c r="BN16" s="16">
        <v>0.62</v>
      </c>
      <c r="BO16" s="13">
        <v>0.71</v>
      </c>
      <c r="BP16" s="13">
        <v>0.68</v>
      </c>
      <c r="BQ16" s="13">
        <v>0.5</v>
      </c>
      <c r="BR16" s="13">
        <v>0.73</v>
      </c>
      <c r="BS16" s="13">
        <v>0.75</v>
      </c>
      <c r="BT16" s="13">
        <v>0.33</v>
      </c>
      <c r="BU16" s="16">
        <v>0.67</v>
      </c>
      <c r="BV16" s="13">
        <v>0.75</v>
      </c>
      <c r="BW16" s="13">
        <v>0.7</v>
      </c>
      <c r="BX16" s="13">
        <v>0.5</v>
      </c>
      <c r="BY16" s="13">
        <v>0.73</v>
      </c>
      <c r="BZ16" s="13">
        <v>0.83</v>
      </c>
      <c r="CA16" s="13">
        <v>0.5</v>
      </c>
      <c r="CB16" s="16">
        <v>0.66</v>
      </c>
      <c r="CC16" s="13">
        <v>0.71</v>
      </c>
      <c r="CD16" s="13">
        <v>0.7</v>
      </c>
      <c r="CE16" s="13">
        <v>0.5</v>
      </c>
      <c r="CF16" s="13">
        <v>0.73</v>
      </c>
      <c r="CG16" s="13">
        <v>0.83</v>
      </c>
      <c r="CH16" s="13">
        <v>0.5</v>
      </c>
      <c r="CI16" s="16">
        <v>0.67</v>
      </c>
      <c r="CJ16" s="13">
        <v>0.71</v>
      </c>
      <c r="CK16" s="13">
        <v>0.7</v>
      </c>
      <c r="CL16" s="13">
        <v>0.5</v>
      </c>
      <c r="CM16" s="13">
        <v>0.77</v>
      </c>
      <c r="CN16" s="13">
        <v>0.83</v>
      </c>
      <c r="CO16" s="13">
        <v>0.5</v>
      </c>
      <c r="CP16" s="16">
        <v>0.67</v>
      </c>
      <c r="CQ16" s="13">
        <v>0.71</v>
      </c>
      <c r="CR16" s="13">
        <v>0.72</v>
      </c>
      <c r="CS16" s="13">
        <v>0.5</v>
      </c>
      <c r="CT16" s="13">
        <v>0.77</v>
      </c>
      <c r="CU16" s="13">
        <v>0.83</v>
      </c>
      <c r="CV16" s="13">
        <v>0.5</v>
      </c>
      <c r="CW16" s="16">
        <v>0.67</v>
      </c>
      <c r="CX16" s="13">
        <v>0.71</v>
      </c>
      <c r="CY16" s="13">
        <v>0.72</v>
      </c>
      <c r="CZ16" s="13">
        <v>0.5</v>
      </c>
      <c r="DA16" s="13">
        <v>0.77</v>
      </c>
      <c r="DB16" s="13">
        <v>0.83</v>
      </c>
      <c r="DC16" s="13">
        <v>0.5</v>
      </c>
      <c r="DD16" s="16">
        <v>0.69</v>
      </c>
      <c r="DE16" s="13">
        <v>0.75</v>
      </c>
      <c r="DF16" s="13">
        <v>0.8</v>
      </c>
      <c r="DG16" s="13">
        <v>0.5</v>
      </c>
      <c r="DH16" s="13">
        <v>0.77</v>
      </c>
      <c r="DI16" s="13">
        <v>0.83</v>
      </c>
      <c r="DJ16" s="13">
        <v>0.5</v>
      </c>
      <c r="DK16" s="16">
        <v>0.67</v>
      </c>
      <c r="DL16" s="13">
        <v>0.75</v>
      </c>
      <c r="DM16" s="13">
        <v>0.81</v>
      </c>
      <c r="DN16" s="13">
        <v>0.5</v>
      </c>
      <c r="DO16" s="13">
        <v>0.73</v>
      </c>
      <c r="DP16" s="13">
        <v>0.83</v>
      </c>
      <c r="DQ16" s="13">
        <v>0.42</v>
      </c>
      <c r="DR16" s="16">
        <v>0.69</v>
      </c>
      <c r="DS16" s="13">
        <v>0.75</v>
      </c>
      <c r="DT16" s="13">
        <v>0.83</v>
      </c>
      <c r="DU16" s="13">
        <v>0.5</v>
      </c>
      <c r="DV16" s="13">
        <v>0.73</v>
      </c>
      <c r="DW16" s="13">
        <v>0.83</v>
      </c>
      <c r="DX16" s="13">
        <v>0.5</v>
      </c>
      <c r="DY16" s="16">
        <v>0.69</v>
      </c>
      <c r="DZ16" s="13">
        <v>0.75</v>
      </c>
      <c r="EA16" s="13">
        <v>0.84</v>
      </c>
      <c r="EB16" s="13">
        <v>0.5</v>
      </c>
      <c r="EC16" s="13">
        <v>0.73</v>
      </c>
      <c r="ED16" s="13">
        <v>0.83</v>
      </c>
      <c r="EE16" s="13">
        <v>0.5</v>
      </c>
      <c r="EF16" s="16">
        <v>0.71</v>
      </c>
      <c r="EG16" s="13">
        <v>0.75</v>
      </c>
      <c r="EH16" s="13">
        <v>0.79</v>
      </c>
      <c r="EI16" s="13">
        <v>0.5</v>
      </c>
      <c r="EJ16" s="13">
        <v>0.73</v>
      </c>
      <c r="EK16" s="13">
        <v>1</v>
      </c>
      <c r="EL16" s="13">
        <v>0.5</v>
      </c>
      <c r="EM16" s="16">
        <v>0.68</v>
      </c>
      <c r="EN16" s="13">
        <v>0.57999999999999996</v>
      </c>
      <c r="EO16" s="13">
        <v>0.78</v>
      </c>
      <c r="EP16" s="13">
        <v>0.5</v>
      </c>
      <c r="EQ16" s="13">
        <v>0.73</v>
      </c>
      <c r="ER16" s="13">
        <v>1</v>
      </c>
      <c r="ES16" s="13">
        <v>0.5</v>
      </c>
      <c r="ET16" s="16">
        <v>0.69</v>
      </c>
      <c r="EU16" s="13">
        <v>0.57999999999999996</v>
      </c>
      <c r="EV16" s="13">
        <v>0.84</v>
      </c>
      <c r="EW16" s="13">
        <v>0.5</v>
      </c>
      <c r="EX16" s="13">
        <v>0.73</v>
      </c>
      <c r="EY16" s="13">
        <v>1</v>
      </c>
      <c r="EZ16" s="13">
        <v>0.5</v>
      </c>
    </row>
    <row r="17" spans="1:156" ht="14.4" x14ac:dyDescent="0.3">
      <c r="A17" s="3" t="s">
        <v>36</v>
      </c>
      <c r="B17" s="3" t="s">
        <v>35</v>
      </c>
      <c r="C17" s="16">
        <v>0.4</v>
      </c>
      <c r="D17" s="13">
        <v>0.38</v>
      </c>
      <c r="E17" s="13">
        <v>0.5</v>
      </c>
      <c r="F17" s="13">
        <v>0.25</v>
      </c>
      <c r="G17" s="13">
        <v>0.5</v>
      </c>
      <c r="H17" s="13">
        <v>0.5</v>
      </c>
      <c r="I17" s="13">
        <v>0.25</v>
      </c>
      <c r="J17" s="16">
        <v>0.46</v>
      </c>
      <c r="K17" s="13">
        <v>0.46</v>
      </c>
      <c r="L17" s="13">
        <v>0.57999999999999996</v>
      </c>
      <c r="M17" s="13">
        <v>0.25</v>
      </c>
      <c r="N17" s="13">
        <v>0.64</v>
      </c>
      <c r="O17" s="13">
        <v>0.5</v>
      </c>
      <c r="P17" s="13">
        <v>0.33</v>
      </c>
      <c r="Q17" s="16">
        <v>0.44</v>
      </c>
      <c r="R17" s="13">
        <v>0.38</v>
      </c>
      <c r="S17" s="13">
        <v>0.55000000000000004</v>
      </c>
      <c r="T17" s="13">
        <v>0.25</v>
      </c>
      <c r="U17" s="13">
        <v>0.64</v>
      </c>
      <c r="V17" s="13">
        <v>0.5</v>
      </c>
      <c r="W17" s="13">
        <v>0.33</v>
      </c>
      <c r="X17" s="16">
        <v>0.44</v>
      </c>
      <c r="Y17" s="13">
        <v>0.38</v>
      </c>
      <c r="Z17" s="13">
        <v>0.56000000000000005</v>
      </c>
      <c r="AA17" s="13">
        <v>0.25</v>
      </c>
      <c r="AB17" s="13">
        <v>0.64</v>
      </c>
      <c r="AC17" s="13">
        <v>0.5</v>
      </c>
      <c r="AD17" s="13">
        <v>0.33</v>
      </c>
      <c r="AE17" s="16">
        <v>0.44</v>
      </c>
      <c r="AF17" s="13">
        <v>0.38</v>
      </c>
      <c r="AG17" s="13">
        <v>0.55000000000000004</v>
      </c>
      <c r="AH17" s="13">
        <v>0.25</v>
      </c>
      <c r="AI17" s="13">
        <v>0.64</v>
      </c>
      <c r="AJ17" s="13">
        <v>0.5</v>
      </c>
      <c r="AK17" s="13">
        <v>0.33</v>
      </c>
      <c r="AL17" s="16">
        <v>0.46</v>
      </c>
      <c r="AM17" s="13">
        <v>0.46</v>
      </c>
      <c r="AN17" s="13">
        <v>0.6</v>
      </c>
      <c r="AO17" s="13">
        <v>0.25</v>
      </c>
      <c r="AP17" s="13">
        <v>0.64</v>
      </c>
      <c r="AQ17" s="13">
        <v>0.5</v>
      </c>
      <c r="AR17" s="13">
        <v>0.33</v>
      </c>
      <c r="AS17" s="16">
        <v>0.42</v>
      </c>
      <c r="AT17" s="13">
        <v>0.33</v>
      </c>
      <c r="AU17" s="13">
        <v>0.61</v>
      </c>
      <c r="AV17" s="13">
        <v>0.25</v>
      </c>
      <c r="AW17" s="13">
        <v>0.55000000000000004</v>
      </c>
      <c r="AX17" s="13">
        <v>0.5</v>
      </c>
      <c r="AY17" s="13">
        <v>0.25</v>
      </c>
      <c r="AZ17" s="16">
        <v>0.39</v>
      </c>
      <c r="BA17" s="13">
        <v>0.33</v>
      </c>
      <c r="BB17" s="13">
        <v>0.62</v>
      </c>
      <c r="BC17" s="13">
        <v>0.25</v>
      </c>
      <c r="BD17" s="13">
        <v>0.41</v>
      </c>
      <c r="BE17" s="13">
        <v>0.5</v>
      </c>
      <c r="BF17" s="13">
        <v>0.25</v>
      </c>
      <c r="BG17" s="16">
        <v>0.4</v>
      </c>
      <c r="BH17" s="13">
        <v>0.33</v>
      </c>
      <c r="BI17" s="13">
        <v>0.63</v>
      </c>
      <c r="BJ17" s="13">
        <v>0.25</v>
      </c>
      <c r="BK17" s="13">
        <v>0.45</v>
      </c>
      <c r="BL17" s="13">
        <v>0.5</v>
      </c>
      <c r="BM17" s="13">
        <v>0.25</v>
      </c>
      <c r="BN17" s="16">
        <v>0.41</v>
      </c>
      <c r="BO17" s="13">
        <v>0.33</v>
      </c>
      <c r="BP17" s="13">
        <v>0.66</v>
      </c>
      <c r="BQ17" s="13">
        <v>0.25</v>
      </c>
      <c r="BR17" s="13">
        <v>0.45</v>
      </c>
      <c r="BS17" s="13">
        <v>0.5</v>
      </c>
      <c r="BT17" s="13">
        <v>0.25</v>
      </c>
      <c r="BU17" s="16">
        <v>0.34</v>
      </c>
      <c r="BV17" s="13">
        <v>0.25</v>
      </c>
      <c r="BW17" s="13">
        <v>0.6</v>
      </c>
      <c r="BX17" s="13">
        <v>0.25</v>
      </c>
      <c r="BY17" s="13">
        <v>0.18</v>
      </c>
      <c r="BZ17" s="13">
        <v>0.5</v>
      </c>
      <c r="CA17" s="13">
        <v>0.25</v>
      </c>
      <c r="CB17" s="16">
        <v>0.31</v>
      </c>
      <c r="CC17" s="13">
        <v>0.08</v>
      </c>
      <c r="CD17" s="13">
        <v>0.61</v>
      </c>
      <c r="CE17" s="13">
        <v>0.25</v>
      </c>
      <c r="CF17" s="13">
        <v>0.14000000000000001</v>
      </c>
      <c r="CG17" s="13">
        <v>0.5</v>
      </c>
      <c r="CH17" s="13">
        <v>0.25</v>
      </c>
      <c r="CI17" s="16">
        <v>0.31</v>
      </c>
      <c r="CJ17" s="13">
        <v>0.08</v>
      </c>
      <c r="CK17" s="13">
        <v>0.63</v>
      </c>
      <c r="CL17" s="13">
        <v>0.25</v>
      </c>
      <c r="CM17" s="13">
        <v>0.14000000000000001</v>
      </c>
      <c r="CN17" s="13">
        <v>0.5</v>
      </c>
      <c r="CO17" s="13">
        <v>0.25</v>
      </c>
      <c r="CP17" s="16">
        <v>0.31</v>
      </c>
      <c r="CQ17" s="13">
        <v>0.08</v>
      </c>
      <c r="CR17" s="13">
        <v>0.63</v>
      </c>
      <c r="CS17" s="13">
        <v>0.25</v>
      </c>
      <c r="CT17" s="13">
        <v>0.14000000000000001</v>
      </c>
      <c r="CU17" s="13">
        <v>0.5</v>
      </c>
      <c r="CV17" s="13">
        <v>0.25</v>
      </c>
      <c r="CW17" s="16">
        <v>0.31</v>
      </c>
      <c r="CX17" s="13">
        <v>0.08</v>
      </c>
      <c r="CY17" s="13">
        <v>0.64</v>
      </c>
      <c r="CZ17" s="13">
        <v>0.25</v>
      </c>
      <c r="DA17" s="13">
        <v>0.14000000000000001</v>
      </c>
      <c r="DB17" s="13">
        <v>0.5</v>
      </c>
      <c r="DC17" s="13">
        <v>0.25</v>
      </c>
      <c r="DD17" s="16">
        <v>0.3</v>
      </c>
      <c r="DE17" s="13">
        <v>0.08</v>
      </c>
      <c r="DF17" s="13">
        <v>0.64</v>
      </c>
      <c r="DG17" s="13">
        <v>0.25</v>
      </c>
      <c r="DH17" s="13">
        <v>0.14000000000000001</v>
      </c>
      <c r="DI17" s="13">
        <v>0.5</v>
      </c>
      <c r="DJ17" s="13">
        <v>0.17</v>
      </c>
      <c r="DK17" s="16">
        <v>0.28000000000000003</v>
      </c>
      <c r="DL17" s="13">
        <v>0</v>
      </c>
      <c r="DM17" s="13">
        <v>0.65</v>
      </c>
      <c r="DN17" s="13">
        <v>0.25</v>
      </c>
      <c r="DO17" s="13">
        <v>0.14000000000000001</v>
      </c>
      <c r="DP17" s="13">
        <v>0.5</v>
      </c>
      <c r="DQ17" s="13">
        <v>0.17</v>
      </c>
      <c r="DR17" s="16">
        <v>0.28000000000000003</v>
      </c>
      <c r="DS17" s="13">
        <v>0</v>
      </c>
      <c r="DT17" s="13">
        <v>0.65</v>
      </c>
      <c r="DU17" s="13">
        <v>0.25</v>
      </c>
      <c r="DV17" s="13">
        <v>0.14000000000000001</v>
      </c>
      <c r="DW17" s="13">
        <v>0.5</v>
      </c>
      <c r="DX17" s="13">
        <v>0.17</v>
      </c>
      <c r="DY17" s="16">
        <v>0.3</v>
      </c>
      <c r="DZ17" s="13">
        <v>0.04</v>
      </c>
      <c r="EA17" s="13">
        <v>0.64</v>
      </c>
      <c r="EB17" s="13">
        <v>0.25</v>
      </c>
      <c r="EC17" s="13">
        <v>0.23</v>
      </c>
      <c r="ED17" s="13">
        <v>0.5</v>
      </c>
      <c r="EE17" s="13">
        <v>0.17</v>
      </c>
      <c r="EF17" s="16">
        <v>0.33</v>
      </c>
      <c r="EG17" s="13">
        <v>0.13</v>
      </c>
      <c r="EH17" s="13">
        <v>0.65</v>
      </c>
      <c r="EI17" s="13">
        <v>0.25</v>
      </c>
      <c r="EJ17" s="13">
        <v>0.27</v>
      </c>
      <c r="EK17" s="13">
        <v>0.5</v>
      </c>
      <c r="EL17" s="13">
        <v>0.17</v>
      </c>
      <c r="EM17" s="16">
        <v>0.3</v>
      </c>
      <c r="EN17" s="13">
        <v>0</v>
      </c>
      <c r="EO17" s="13">
        <v>0.6</v>
      </c>
      <c r="EP17" s="13">
        <v>0.25</v>
      </c>
      <c r="EQ17" s="13">
        <v>0.27</v>
      </c>
      <c r="ER17" s="13">
        <v>0.5</v>
      </c>
      <c r="ES17" s="13">
        <v>0.17</v>
      </c>
      <c r="ET17" s="16">
        <v>0.31</v>
      </c>
      <c r="EU17" s="13">
        <v>0</v>
      </c>
      <c r="EV17" s="13">
        <v>0.65</v>
      </c>
      <c r="EW17" s="13">
        <v>0.25</v>
      </c>
      <c r="EX17" s="13">
        <v>0.27</v>
      </c>
      <c r="EY17" s="13">
        <v>0.5</v>
      </c>
      <c r="EZ17" s="13">
        <v>0.17</v>
      </c>
    </row>
    <row r="18" spans="1:156" ht="14.4" x14ac:dyDescent="0.3">
      <c r="A18" s="3" t="s">
        <v>38</v>
      </c>
      <c r="B18" s="3" t="s">
        <v>37</v>
      </c>
      <c r="C18" s="16">
        <v>0.4</v>
      </c>
      <c r="D18" s="13">
        <v>0.33</v>
      </c>
      <c r="E18" s="13">
        <v>0.75</v>
      </c>
      <c r="F18" s="13">
        <v>0.25</v>
      </c>
      <c r="G18" s="13">
        <v>0.55000000000000004</v>
      </c>
      <c r="H18" s="13">
        <v>0.33</v>
      </c>
      <c r="I18" s="13">
        <v>0.17</v>
      </c>
      <c r="J18" s="16">
        <v>0.44</v>
      </c>
      <c r="K18" s="13">
        <v>0.38</v>
      </c>
      <c r="L18" s="13">
        <v>0.72</v>
      </c>
      <c r="M18" s="13">
        <v>0.25</v>
      </c>
      <c r="N18" s="13">
        <v>0.55000000000000004</v>
      </c>
      <c r="O18" s="13">
        <v>0.5</v>
      </c>
      <c r="P18" s="13">
        <v>0.25</v>
      </c>
      <c r="Q18" s="16">
        <v>0.46</v>
      </c>
      <c r="R18" s="13">
        <v>0.42</v>
      </c>
      <c r="S18" s="13">
        <v>0.73</v>
      </c>
      <c r="T18" s="13">
        <v>0.25</v>
      </c>
      <c r="U18" s="13">
        <v>0.59</v>
      </c>
      <c r="V18" s="13">
        <v>0.5</v>
      </c>
      <c r="W18" s="13">
        <v>0.25</v>
      </c>
      <c r="X18" s="16">
        <v>0.44</v>
      </c>
      <c r="Y18" s="13">
        <v>0.42</v>
      </c>
      <c r="Z18" s="13">
        <v>0.7</v>
      </c>
      <c r="AA18" s="13">
        <v>0.25</v>
      </c>
      <c r="AB18" s="13">
        <v>0.5</v>
      </c>
      <c r="AC18" s="13">
        <v>0.5</v>
      </c>
      <c r="AD18" s="13">
        <v>0.25</v>
      </c>
      <c r="AE18" s="16">
        <v>0.46</v>
      </c>
      <c r="AF18" s="13">
        <v>0.42</v>
      </c>
      <c r="AG18" s="13">
        <v>0.77</v>
      </c>
      <c r="AH18" s="13">
        <v>0.25</v>
      </c>
      <c r="AI18" s="13">
        <v>0.5</v>
      </c>
      <c r="AJ18" s="13">
        <v>0.57999999999999996</v>
      </c>
      <c r="AK18" s="13">
        <v>0.25</v>
      </c>
      <c r="AL18" s="16">
        <v>0.48</v>
      </c>
      <c r="AM18" s="13">
        <v>0.42</v>
      </c>
      <c r="AN18" s="13">
        <v>0.78</v>
      </c>
      <c r="AO18" s="13">
        <v>0.25</v>
      </c>
      <c r="AP18" s="13">
        <v>0.59</v>
      </c>
      <c r="AQ18" s="13">
        <v>0.57999999999999996</v>
      </c>
      <c r="AR18" s="13">
        <v>0.25</v>
      </c>
      <c r="AS18" s="16">
        <v>0.49</v>
      </c>
      <c r="AT18" s="13">
        <v>0.46</v>
      </c>
      <c r="AU18" s="13">
        <v>0.78</v>
      </c>
      <c r="AV18" s="13">
        <v>0.25</v>
      </c>
      <c r="AW18" s="13">
        <v>0.64</v>
      </c>
      <c r="AX18" s="13">
        <v>0.57999999999999996</v>
      </c>
      <c r="AY18" s="13">
        <v>0.25</v>
      </c>
      <c r="AZ18" s="16">
        <v>0.49</v>
      </c>
      <c r="BA18" s="13">
        <v>0.46</v>
      </c>
      <c r="BB18" s="13">
        <v>0.79</v>
      </c>
      <c r="BC18" s="13">
        <v>0.25</v>
      </c>
      <c r="BD18" s="13">
        <v>0.64</v>
      </c>
      <c r="BE18" s="13">
        <v>0.57999999999999996</v>
      </c>
      <c r="BF18" s="13">
        <v>0.25</v>
      </c>
      <c r="BG18" s="16">
        <v>0.51</v>
      </c>
      <c r="BH18" s="13">
        <v>0.5</v>
      </c>
      <c r="BI18" s="13">
        <v>0.8</v>
      </c>
      <c r="BJ18" s="13">
        <v>0.25</v>
      </c>
      <c r="BK18" s="13">
        <v>0.68</v>
      </c>
      <c r="BL18" s="13">
        <v>0.57999999999999996</v>
      </c>
      <c r="BM18" s="13">
        <v>0.25</v>
      </c>
      <c r="BN18" s="16">
        <v>0.51</v>
      </c>
      <c r="BO18" s="13">
        <v>0.5</v>
      </c>
      <c r="BP18" s="13">
        <v>0.77</v>
      </c>
      <c r="BQ18" s="13">
        <v>0.25</v>
      </c>
      <c r="BR18" s="13">
        <v>0.68</v>
      </c>
      <c r="BS18" s="13">
        <v>0.57999999999999996</v>
      </c>
      <c r="BT18" s="13">
        <v>0.25</v>
      </c>
      <c r="BU18" s="16">
        <v>0.54</v>
      </c>
      <c r="BV18" s="13">
        <v>0.54</v>
      </c>
      <c r="BW18" s="13">
        <v>0.75</v>
      </c>
      <c r="BX18" s="13">
        <v>0.25</v>
      </c>
      <c r="BY18" s="13">
        <v>0.68</v>
      </c>
      <c r="BZ18" s="13">
        <v>0.57999999999999996</v>
      </c>
      <c r="CA18" s="13">
        <v>0.42</v>
      </c>
      <c r="CB18" s="16">
        <v>0.53</v>
      </c>
      <c r="CC18" s="13">
        <v>0.54</v>
      </c>
      <c r="CD18" s="13">
        <v>0.72</v>
      </c>
      <c r="CE18" s="13">
        <v>0.25</v>
      </c>
      <c r="CF18" s="13">
        <v>0.68</v>
      </c>
      <c r="CG18" s="13">
        <v>0.57999999999999996</v>
      </c>
      <c r="CH18" s="13">
        <v>0.42</v>
      </c>
      <c r="CI18" s="16">
        <v>0.55000000000000004</v>
      </c>
      <c r="CJ18" s="13">
        <v>0.57999999999999996</v>
      </c>
      <c r="CK18" s="13">
        <v>0.71</v>
      </c>
      <c r="CL18" s="13">
        <v>0.25</v>
      </c>
      <c r="CM18" s="13">
        <v>0.68</v>
      </c>
      <c r="CN18" s="13">
        <v>0.67</v>
      </c>
      <c r="CO18" s="13">
        <v>0.42</v>
      </c>
      <c r="CP18" s="16">
        <v>0.56999999999999995</v>
      </c>
      <c r="CQ18" s="13">
        <v>0.67</v>
      </c>
      <c r="CR18" s="13">
        <v>0.72</v>
      </c>
      <c r="CS18" s="13">
        <v>0.25</v>
      </c>
      <c r="CT18" s="13">
        <v>0.68</v>
      </c>
      <c r="CU18" s="13">
        <v>0.67</v>
      </c>
      <c r="CV18" s="13">
        <v>0.42</v>
      </c>
      <c r="CW18" s="16">
        <v>0.6</v>
      </c>
      <c r="CX18" s="13">
        <v>0.75</v>
      </c>
      <c r="CY18" s="13">
        <v>0.78</v>
      </c>
      <c r="CZ18" s="13">
        <v>0.25</v>
      </c>
      <c r="DA18" s="13">
        <v>0.73</v>
      </c>
      <c r="DB18" s="13">
        <v>0.67</v>
      </c>
      <c r="DC18" s="13">
        <v>0.42</v>
      </c>
      <c r="DD18" s="16">
        <v>0.59</v>
      </c>
      <c r="DE18" s="13">
        <v>0.75</v>
      </c>
      <c r="DF18" s="13">
        <v>0.74</v>
      </c>
      <c r="DG18" s="13">
        <v>0.25</v>
      </c>
      <c r="DH18" s="13">
        <v>0.73</v>
      </c>
      <c r="DI18" s="13">
        <v>0.67</v>
      </c>
      <c r="DJ18" s="13">
        <v>0.42</v>
      </c>
      <c r="DK18" s="16">
        <v>0.59</v>
      </c>
      <c r="DL18" s="13">
        <v>0.75</v>
      </c>
      <c r="DM18" s="13">
        <v>0.74</v>
      </c>
      <c r="DN18" s="13">
        <v>0.25</v>
      </c>
      <c r="DO18" s="13">
        <v>0.73</v>
      </c>
      <c r="DP18" s="13">
        <v>0.67</v>
      </c>
      <c r="DQ18" s="13">
        <v>0.42</v>
      </c>
      <c r="DR18" s="16">
        <v>0.56999999999999995</v>
      </c>
      <c r="DS18" s="13">
        <v>0.67</v>
      </c>
      <c r="DT18" s="13">
        <v>0.75</v>
      </c>
      <c r="DU18" s="13">
        <v>0.25</v>
      </c>
      <c r="DV18" s="13">
        <v>0.68</v>
      </c>
      <c r="DW18" s="13">
        <v>0.67</v>
      </c>
      <c r="DX18" s="13">
        <v>0.42</v>
      </c>
      <c r="DY18" s="16">
        <v>0.55000000000000004</v>
      </c>
      <c r="DZ18" s="13">
        <v>0.67</v>
      </c>
      <c r="EA18" s="13">
        <v>0.67</v>
      </c>
      <c r="EB18" s="13">
        <v>0.25</v>
      </c>
      <c r="EC18" s="13">
        <v>0.64</v>
      </c>
      <c r="ED18" s="13">
        <v>0.67</v>
      </c>
      <c r="EE18" s="13">
        <v>0.42</v>
      </c>
      <c r="EF18" s="16">
        <v>0.53</v>
      </c>
      <c r="EG18" s="13">
        <v>0.67</v>
      </c>
      <c r="EH18" s="13">
        <v>0.73</v>
      </c>
      <c r="EI18" s="13">
        <v>0.25</v>
      </c>
      <c r="EJ18" s="13">
        <v>0.45</v>
      </c>
      <c r="EK18" s="13">
        <v>0.67</v>
      </c>
      <c r="EL18" s="13">
        <v>0.42</v>
      </c>
      <c r="EM18" s="16">
        <v>0.57999999999999996</v>
      </c>
      <c r="EN18" s="13">
        <v>0.67</v>
      </c>
      <c r="EO18" s="13">
        <v>0.8</v>
      </c>
      <c r="EP18" s="13">
        <v>0.25</v>
      </c>
      <c r="EQ18" s="13">
        <v>0.45</v>
      </c>
      <c r="ER18" s="13">
        <v>0.67</v>
      </c>
      <c r="ES18" s="13">
        <v>0.67</v>
      </c>
      <c r="ET18" s="16">
        <v>0.57999999999999996</v>
      </c>
      <c r="EU18" s="13">
        <v>0.67</v>
      </c>
      <c r="EV18" s="13">
        <v>0.75</v>
      </c>
      <c r="EW18" s="13">
        <v>0.25</v>
      </c>
      <c r="EX18" s="13">
        <v>0.45</v>
      </c>
      <c r="EY18" s="13">
        <v>0.67</v>
      </c>
      <c r="EZ18" s="13">
        <v>0.67</v>
      </c>
    </row>
    <row r="19" spans="1:156" ht="14.4" x14ac:dyDescent="0.3">
      <c r="A19" s="3" t="s">
        <v>40</v>
      </c>
      <c r="B19" s="3" t="s">
        <v>39</v>
      </c>
      <c r="C19" s="16">
        <v>0.43</v>
      </c>
      <c r="D19" s="13">
        <v>0.54</v>
      </c>
      <c r="E19" s="13">
        <v>0.55000000000000004</v>
      </c>
      <c r="F19" s="13">
        <v>0.38</v>
      </c>
      <c r="G19" s="13">
        <v>0.55000000000000004</v>
      </c>
      <c r="H19" s="13">
        <v>0.33</v>
      </c>
      <c r="I19" s="13">
        <v>0.25</v>
      </c>
      <c r="J19" s="16">
        <v>0.42</v>
      </c>
      <c r="K19" s="13">
        <v>0.54</v>
      </c>
      <c r="L19" s="13">
        <v>0.54</v>
      </c>
      <c r="M19" s="13">
        <v>0.38</v>
      </c>
      <c r="N19" s="13">
        <v>0.5</v>
      </c>
      <c r="O19" s="13">
        <v>0.33</v>
      </c>
      <c r="P19" s="13">
        <v>0.25</v>
      </c>
      <c r="Q19" s="16">
        <v>0.43</v>
      </c>
      <c r="R19" s="13">
        <v>0.54</v>
      </c>
      <c r="S19" s="13">
        <v>0.54</v>
      </c>
      <c r="T19" s="13">
        <v>0.38</v>
      </c>
      <c r="U19" s="13">
        <v>0.55000000000000004</v>
      </c>
      <c r="V19" s="13">
        <v>0.33</v>
      </c>
      <c r="W19" s="13">
        <v>0.25</v>
      </c>
      <c r="X19" s="16">
        <v>0.43</v>
      </c>
      <c r="Y19" s="13">
        <v>0.54</v>
      </c>
      <c r="Z19" s="13">
        <v>0.5</v>
      </c>
      <c r="AA19" s="13">
        <v>0.38</v>
      </c>
      <c r="AB19" s="13">
        <v>0.59</v>
      </c>
      <c r="AC19" s="13">
        <v>0.33</v>
      </c>
      <c r="AD19" s="13">
        <v>0.25</v>
      </c>
      <c r="AE19" s="16">
        <v>0.39</v>
      </c>
      <c r="AF19" s="13">
        <v>0.54</v>
      </c>
      <c r="AG19" s="13">
        <v>0.53</v>
      </c>
      <c r="AH19" s="13">
        <v>0.25</v>
      </c>
      <c r="AI19" s="13">
        <v>0.45</v>
      </c>
      <c r="AJ19" s="13">
        <v>0.33</v>
      </c>
      <c r="AK19" s="13">
        <v>0.25</v>
      </c>
      <c r="AL19" s="16">
        <v>0.39</v>
      </c>
      <c r="AM19" s="13">
        <v>0.54</v>
      </c>
      <c r="AN19" s="13">
        <v>0.52</v>
      </c>
      <c r="AO19" s="13">
        <v>0.25</v>
      </c>
      <c r="AP19" s="13">
        <v>0.45</v>
      </c>
      <c r="AQ19" s="13">
        <v>0.33</v>
      </c>
      <c r="AR19" s="13">
        <v>0.25</v>
      </c>
      <c r="AS19" s="16">
        <v>0.39</v>
      </c>
      <c r="AT19" s="13">
        <v>0.54</v>
      </c>
      <c r="AU19" s="13">
        <v>0.53</v>
      </c>
      <c r="AV19" s="13">
        <v>0.25</v>
      </c>
      <c r="AW19" s="13">
        <v>0.45</v>
      </c>
      <c r="AX19" s="13">
        <v>0.33</v>
      </c>
      <c r="AY19" s="13">
        <v>0.25</v>
      </c>
      <c r="AZ19" s="16">
        <v>0.37</v>
      </c>
      <c r="BA19" s="13">
        <v>0.46</v>
      </c>
      <c r="BB19" s="13">
        <v>0.49</v>
      </c>
      <c r="BC19" s="13">
        <v>0.25</v>
      </c>
      <c r="BD19" s="13">
        <v>0.45</v>
      </c>
      <c r="BE19" s="13">
        <v>0.33</v>
      </c>
      <c r="BF19" s="13">
        <v>0.25</v>
      </c>
      <c r="BG19" s="16">
        <v>0.38</v>
      </c>
      <c r="BH19" s="13">
        <v>0.46</v>
      </c>
      <c r="BI19" s="13">
        <v>0.5</v>
      </c>
      <c r="BJ19" s="13">
        <v>0.25</v>
      </c>
      <c r="BK19" s="13">
        <v>0.5</v>
      </c>
      <c r="BL19" s="13">
        <v>0.33</v>
      </c>
      <c r="BM19" s="13">
        <v>0.25</v>
      </c>
      <c r="BN19" s="16">
        <v>0.39</v>
      </c>
      <c r="BO19" s="13">
        <v>0.46</v>
      </c>
      <c r="BP19" s="13">
        <v>0.54</v>
      </c>
      <c r="BQ19" s="13">
        <v>0.25</v>
      </c>
      <c r="BR19" s="13">
        <v>0.5</v>
      </c>
      <c r="BS19" s="13">
        <v>0.33</v>
      </c>
      <c r="BT19" s="13">
        <v>0.25</v>
      </c>
      <c r="BU19" s="16">
        <v>0.39</v>
      </c>
      <c r="BV19" s="13">
        <v>0.46</v>
      </c>
      <c r="BW19" s="13">
        <v>0.56000000000000005</v>
      </c>
      <c r="BX19" s="13">
        <v>0.25</v>
      </c>
      <c r="BY19" s="13">
        <v>0.5</v>
      </c>
      <c r="BZ19" s="13">
        <v>0.33</v>
      </c>
      <c r="CA19" s="13">
        <v>0.25</v>
      </c>
      <c r="CB19" s="16">
        <v>0.39</v>
      </c>
      <c r="CC19" s="13">
        <v>0.46</v>
      </c>
      <c r="CD19" s="13">
        <v>0.55000000000000004</v>
      </c>
      <c r="CE19" s="13">
        <v>0.25</v>
      </c>
      <c r="CF19" s="13">
        <v>0.5</v>
      </c>
      <c r="CG19" s="13">
        <v>0.33</v>
      </c>
      <c r="CH19" s="13">
        <v>0.25</v>
      </c>
      <c r="CI19" s="16">
        <v>0.39</v>
      </c>
      <c r="CJ19" s="13">
        <v>0.46</v>
      </c>
      <c r="CK19" s="13">
        <v>0.56000000000000005</v>
      </c>
      <c r="CL19" s="13">
        <v>0.25</v>
      </c>
      <c r="CM19" s="13">
        <v>0.5</v>
      </c>
      <c r="CN19" s="13">
        <v>0.33</v>
      </c>
      <c r="CO19" s="13">
        <v>0.25</v>
      </c>
      <c r="CP19" s="16">
        <v>0.39</v>
      </c>
      <c r="CQ19" s="13">
        <v>0.46</v>
      </c>
      <c r="CR19" s="13">
        <v>0.55000000000000004</v>
      </c>
      <c r="CS19" s="13">
        <v>0.25</v>
      </c>
      <c r="CT19" s="13">
        <v>0.5</v>
      </c>
      <c r="CU19" s="13">
        <v>0.33</v>
      </c>
      <c r="CV19" s="13">
        <v>0.25</v>
      </c>
      <c r="CW19" s="16">
        <v>0.38</v>
      </c>
      <c r="CX19" s="13">
        <v>0.46</v>
      </c>
      <c r="CY19" s="13">
        <v>0.52</v>
      </c>
      <c r="CZ19" s="13">
        <v>0.25</v>
      </c>
      <c r="DA19" s="13">
        <v>0.45</v>
      </c>
      <c r="DB19" s="13">
        <v>0.33</v>
      </c>
      <c r="DC19" s="13">
        <v>0.25</v>
      </c>
      <c r="DD19" s="16">
        <v>0.38</v>
      </c>
      <c r="DE19" s="13">
        <v>0.46</v>
      </c>
      <c r="DF19" s="13">
        <v>0.55000000000000004</v>
      </c>
      <c r="DG19" s="13">
        <v>0.25</v>
      </c>
      <c r="DH19" s="13">
        <v>0.45</v>
      </c>
      <c r="DI19" s="13">
        <v>0.33</v>
      </c>
      <c r="DJ19" s="13">
        <v>0.25</v>
      </c>
      <c r="DK19" s="16">
        <v>0.41</v>
      </c>
      <c r="DL19" s="13">
        <v>0.5</v>
      </c>
      <c r="DM19" s="13">
        <v>0.57999999999999996</v>
      </c>
      <c r="DN19" s="13">
        <v>0.25</v>
      </c>
      <c r="DO19" s="13">
        <v>0.55000000000000004</v>
      </c>
      <c r="DP19" s="13">
        <v>0.33</v>
      </c>
      <c r="DQ19" s="13">
        <v>0.25</v>
      </c>
      <c r="DR19" s="16">
        <v>0.33</v>
      </c>
      <c r="DS19" s="13">
        <v>0.42</v>
      </c>
      <c r="DT19" s="13">
        <v>0.56000000000000005</v>
      </c>
      <c r="DU19" s="13">
        <v>0.25</v>
      </c>
      <c r="DV19" s="13">
        <v>0.32</v>
      </c>
      <c r="DW19" s="13">
        <v>0.25</v>
      </c>
      <c r="DX19" s="13">
        <v>0.17</v>
      </c>
      <c r="DY19" s="16">
        <v>0.33</v>
      </c>
      <c r="DZ19" s="13">
        <v>0.42</v>
      </c>
      <c r="EA19" s="13">
        <v>0.61</v>
      </c>
      <c r="EB19" s="13">
        <v>0.25</v>
      </c>
      <c r="EC19" s="13">
        <v>0.32</v>
      </c>
      <c r="ED19" s="13">
        <v>0.25</v>
      </c>
      <c r="EE19" s="13">
        <v>0.17</v>
      </c>
      <c r="EF19" s="16">
        <v>0.3</v>
      </c>
      <c r="EG19" s="13">
        <v>0.46</v>
      </c>
      <c r="EH19" s="13">
        <v>0.46</v>
      </c>
      <c r="EI19" s="13">
        <v>0.25</v>
      </c>
      <c r="EJ19" s="13">
        <v>0.23</v>
      </c>
      <c r="EK19" s="13">
        <v>0.25</v>
      </c>
      <c r="EL19" s="13">
        <v>0.17</v>
      </c>
      <c r="EM19" s="16">
        <v>0.39</v>
      </c>
      <c r="EN19" s="13">
        <v>0.5</v>
      </c>
      <c r="EO19" s="13">
        <v>0.56000000000000005</v>
      </c>
      <c r="EP19" s="13">
        <v>0.25</v>
      </c>
      <c r="EQ19" s="13">
        <v>0.36</v>
      </c>
      <c r="ER19" s="13">
        <v>0.5</v>
      </c>
      <c r="ES19" s="13">
        <v>0.17</v>
      </c>
      <c r="ET19" s="16">
        <v>0.35</v>
      </c>
      <c r="EU19" s="13">
        <v>0.33</v>
      </c>
      <c r="EV19" s="13">
        <v>0.74</v>
      </c>
      <c r="EW19" s="13">
        <v>0</v>
      </c>
      <c r="EX19" s="13">
        <v>0.36</v>
      </c>
      <c r="EY19" s="13">
        <v>0.5</v>
      </c>
      <c r="EZ19" s="13">
        <v>0.17</v>
      </c>
    </row>
    <row r="20" spans="1:156" ht="14.4" x14ac:dyDescent="0.3">
      <c r="A20" s="3" t="s">
        <v>42</v>
      </c>
      <c r="B20" s="3" t="s">
        <v>41</v>
      </c>
      <c r="C20" s="16">
        <v>0.46</v>
      </c>
      <c r="D20" s="13">
        <v>0.42</v>
      </c>
      <c r="E20" s="13">
        <v>0.45</v>
      </c>
      <c r="F20" s="13">
        <v>0.5</v>
      </c>
      <c r="G20" s="13">
        <v>0.55000000000000004</v>
      </c>
      <c r="H20" s="13">
        <v>0.5</v>
      </c>
      <c r="I20" s="13">
        <v>0.33</v>
      </c>
      <c r="J20" s="16">
        <v>0.47</v>
      </c>
      <c r="K20" s="13">
        <v>0.46</v>
      </c>
      <c r="L20" s="13">
        <v>0.46</v>
      </c>
      <c r="M20" s="13">
        <v>0.5</v>
      </c>
      <c r="N20" s="13">
        <v>0.59</v>
      </c>
      <c r="O20" s="13">
        <v>0.5</v>
      </c>
      <c r="P20" s="13">
        <v>0.33</v>
      </c>
      <c r="Q20" s="16">
        <v>0.47</v>
      </c>
      <c r="R20" s="13">
        <v>0.46</v>
      </c>
      <c r="S20" s="13">
        <v>0.46</v>
      </c>
      <c r="T20" s="13">
        <v>0.5</v>
      </c>
      <c r="U20" s="13">
        <v>0.59</v>
      </c>
      <c r="V20" s="13">
        <v>0.5</v>
      </c>
      <c r="W20" s="13">
        <v>0.33</v>
      </c>
      <c r="X20" s="16">
        <v>0.49</v>
      </c>
      <c r="Y20" s="13">
        <v>0.46</v>
      </c>
      <c r="Z20" s="13">
        <v>0.5</v>
      </c>
      <c r="AA20" s="13">
        <v>0.5</v>
      </c>
      <c r="AB20" s="13">
        <v>0.64</v>
      </c>
      <c r="AC20" s="13">
        <v>0.5</v>
      </c>
      <c r="AD20" s="13">
        <v>0.33</v>
      </c>
      <c r="AE20" s="16">
        <v>0.49</v>
      </c>
      <c r="AF20" s="13">
        <v>0.5</v>
      </c>
      <c r="AG20" s="13">
        <v>0.47</v>
      </c>
      <c r="AH20" s="13">
        <v>0.5</v>
      </c>
      <c r="AI20" s="13">
        <v>0.64</v>
      </c>
      <c r="AJ20" s="13">
        <v>0.5</v>
      </c>
      <c r="AK20" s="13">
        <v>0.33</v>
      </c>
      <c r="AL20" s="16">
        <v>0.49</v>
      </c>
      <c r="AM20" s="13">
        <v>0.5</v>
      </c>
      <c r="AN20" s="13">
        <v>0.47</v>
      </c>
      <c r="AO20" s="13">
        <v>0.5</v>
      </c>
      <c r="AP20" s="13">
        <v>0.64</v>
      </c>
      <c r="AQ20" s="13">
        <v>0.5</v>
      </c>
      <c r="AR20" s="13">
        <v>0.33</v>
      </c>
      <c r="AS20" s="16">
        <v>0.48</v>
      </c>
      <c r="AT20" s="13">
        <v>0.5</v>
      </c>
      <c r="AU20" s="13">
        <v>0.44</v>
      </c>
      <c r="AV20" s="13">
        <v>0.5</v>
      </c>
      <c r="AW20" s="13">
        <v>0.64</v>
      </c>
      <c r="AX20" s="13">
        <v>0.5</v>
      </c>
      <c r="AY20" s="13">
        <v>0.33</v>
      </c>
      <c r="AZ20" s="16">
        <v>0.47</v>
      </c>
      <c r="BA20" s="13">
        <v>0.5</v>
      </c>
      <c r="BB20" s="13">
        <v>0.46</v>
      </c>
      <c r="BC20" s="13">
        <v>0.5</v>
      </c>
      <c r="BD20" s="13">
        <v>0.55000000000000004</v>
      </c>
      <c r="BE20" s="13">
        <v>0.5</v>
      </c>
      <c r="BF20" s="13">
        <v>0.33</v>
      </c>
      <c r="BG20" s="16">
        <v>0.5</v>
      </c>
      <c r="BH20" s="13">
        <v>0.54</v>
      </c>
      <c r="BI20" s="13">
        <v>0.47</v>
      </c>
      <c r="BJ20" s="13">
        <v>0.5</v>
      </c>
      <c r="BK20" s="13">
        <v>0.55000000000000004</v>
      </c>
      <c r="BL20" s="13">
        <v>0.57999999999999996</v>
      </c>
      <c r="BM20" s="13">
        <v>0.33</v>
      </c>
      <c r="BN20" s="16">
        <v>0.45</v>
      </c>
      <c r="BO20" s="13">
        <v>0.38</v>
      </c>
      <c r="BP20" s="13">
        <v>0.43</v>
      </c>
      <c r="BQ20" s="13">
        <v>0.5</v>
      </c>
      <c r="BR20" s="13">
        <v>0.5</v>
      </c>
      <c r="BS20" s="13">
        <v>0.57999999999999996</v>
      </c>
      <c r="BT20" s="13">
        <v>0.33</v>
      </c>
      <c r="BU20" s="16">
        <v>0.46</v>
      </c>
      <c r="BV20" s="13">
        <v>0.38</v>
      </c>
      <c r="BW20" s="13">
        <v>0.41</v>
      </c>
      <c r="BX20" s="13">
        <v>0.5</v>
      </c>
      <c r="BY20" s="13">
        <v>0.55000000000000004</v>
      </c>
      <c r="BZ20" s="13">
        <v>0.57999999999999996</v>
      </c>
      <c r="CA20" s="13">
        <v>0.33</v>
      </c>
      <c r="CB20" s="16">
        <v>0.47</v>
      </c>
      <c r="CC20" s="13">
        <v>0.38</v>
      </c>
      <c r="CD20" s="13">
        <v>0.42</v>
      </c>
      <c r="CE20" s="13">
        <v>0.5</v>
      </c>
      <c r="CF20" s="13">
        <v>0.59</v>
      </c>
      <c r="CG20" s="13">
        <v>0.57999999999999996</v>
      </c>
      <c r="CH20" s="13">
        <v>0.33</v>
      </c>
      <c r="CI20" s="16">
        <v>0.44</v>
      </c>
      <c r="CJ20" s="13">
        <v>0.25</v>
      </c>
      <c r="CK20" s="13">
        <v>0.44</v>
      </c>
      <c r="CL20" s="13">
        <v>0.5</v>
      </c>
      <c r="CM20" s="13">
        <v>0.59</v>
      </c>
      <c r="CN20" s="13">
        <v>0.5</v>
      </c>
      <c r="CO20" s="13">
        <v>0.33</v>
      </c>
      <c r="CP20" s="16">
        <v>0.43</v>
      </c>
      <c r="CQ20" s="13">
        <v>0.21</v>
      </c>
      <c r="CR20" s="13">
        <v>0.46</v>
      </c>
      <c r="CS20" s="13">
        <v>0.5</v>
      </c>
      <c r="CT20" s="13">
        <v>0.59</v>
      </c>
      <c r="CU20" s="13">
        <v>0.5</v>
      </c>
      <c r="CV20" s="13">
        <v>0.33</v>
      </c>
      <c r="CW20" s="16">
        <v>0.42</v>
      </c>
      <c r="CX20" s="13">
        <v>0.17</v>
      </c>
      <c r="CY20" s="13">
        <v>0.41</v>
      </c>
      <c r="CZ20" s="13">
        <v>0.5</v>
      </c>
      <c r="DA20" s="13">
        <v>0.64</v>
      </c>
      <c r="DB20" s="13">
        <v>0.5</v>
      </c>
      <c r="DC20" s="13">
        <v>0.33</v>
      </c>
      <c r="DD20" s="16">
        <v>0.42</v>
      </c>
      <c r="DE20" s="13">
        <v>0.17</v>
      </c>
      <c r="DF20" s="13">
        <v>0.5</v>
      </c>
      <c r="DG20" s="13">
        <v>0.5</v>
      </c>
      <c r="DH20" s="13">
        <v>0.64</v>
      </c>
      <c r="DI20" s="13">
        <v>0.5</v>
      </c>
      <c r="DJ20" s="13">
        <v>0.25</v>
      </c>
      <c r="DK20" s="16">
        <v>0.39</v>
      </c>
      <c r="DL20" s="13">
        <v>0.17</v>
      </c>
      <c r="DM20" s="13">
        <v>0.52</v>
      </c>
      <c r="DN20" s="13">
        <v>0.5</v>
      </c>
      <c r="DO20" s="13">
        <v>0.41</v>
      </c>
      <c r="DP20" s="13">
        <v>0.5</v>
      </c>
      <c r="DQ20" s="13">
        <v>0.25</v>
      </c>
      <c r="DR20" s="16">
        <v>0.38</v>
      </c>
      <c r="DS20" s="13">
        <v>0.08</v>
      </c>
      <c r="DT20" s="13">
        <v>0.67</v>
      </c>
      <c r="DU20" s="13">
        <v>0.5</v>
      </c>
      <c r="DV20" s="13">
        <v>0.27</v>
      </c>
      <c r="DW20" s="13">
        <v>0.5</v>
      </c>
      <c r="DX20" s="13">
        <v>0.25</v>
      </c>
      <c r="DY20" s="16">
        <v>0.39</v>
      </c>
      <c r="DZ20" s="13">
        <v>0.08</v>
      </c>
      <c r="EA20" s="13">
        <v>0.73</v>
      </c>
      <c r="EB20" s="13">
        <v>0.5</v>
      </c>
      <c r="EC20" s="13">
        <v>0.27</v>
      </c>
      <c r="ED20" s="13">
        <v>0.5</v>
      </c>
      <c r="EE20" s="13">
        <v>0.25</v>
      </c>
      <c r="EF20" s="16">
        <v>0.39</v>
      </c>
      <c r="EG20" s="13">
        <v>0.08</v>
      </c>
      <c r="EH20" s="13">
        <v>0.7</v>
      </c>
      <c r="EI20" s="13">
        <v>0.5</v>
      </c>
      <c r="EJ20" s="13">
        <v>0.32</v>
      </c>
      <c r="EK20" s="13">
        <v>0.5</v>
      </c>
      <c r="EL20" s="13">
        <v>0.25</v>
      </c>
      <c r="EM20" s="16">
        <v>0.36</v>
      </c>
      <c r="EN20" s="13">
        <v>0</v>
      </c>
      <c r="EO20" s="13">
        <v>0.66</v>
      </c>
      <c r="EP20" s="13">
        <v>0.5</v>
      </c>
      <c r="EQ20" s="13">
        <v>0.18</v>
      </c>
      <c r="ER20" s="13">
        <v>0.5</v>
      </c>
      <c r="ES20" s="13">
        <v>0.33</v>
      </c>
      <c r="ET20" s="16">
        <v>0.47</v>
      </c>
      <c r="EU20" s="13">
        <v>0.33</v>
      </c>
      <c r="EV20" s="13">
        <v>0.69</v>
      </c>
      <c r="EW20" s="13">
        <v>0.5</v>
      </c>
      <c r="EX20" s="13">
        <v>0.27</v>
      </c>
      <c r="EY20" s="13">
        <v>0.5</v>
      </c>
      <c r="EZ20" s="13">
        <v>0.5</v>
      </c>
    </row>
    <row r="21" spans="1:156" ht="14.4" x14ac:dyDescent="0.3">
      <c r="A21" s="3" t="s">
        <v>44</v>
      </c>
      <c r="B21" s="3" t="s">
        <v>43</v>
      </c>
      <c r="C21" s="16">
        <v>0.52</v>
      </c>
      <c r="D21" s="13">
        <v>0.63</v>
      </c>
      <c r="E21" s="13">
        <v>0.55000000000000004</v>
      </c>
      <c r="F21" s="13">
        <v>0.5</v>
      </c>
      <c r="G21" s="13">
        <v>0.55000000000000004</v>
      </c>
      <c r="H21" s="13">
        <v>0.5</v>
      </c>
      <c r="I21" s="13">
        <v>0.42</v>
      </c>
      <c r="J21" s="16">
        <v>0.52</v>
      </c>
      <c r="K21" s="13">
        <v>0.63</v>
      </c>
      <c r="L21" s="13">
        <v>0.53</v>
      </c>
      <c r="M21" s="13">
        <v>0.5</v>
      </c>
      <c r="N21" s="13">
        <v>0.55000000000000004</v>
      </c>
      <c r="O21" s="13">
        <v>0.5</v>
      </c>
      <c r="P21" s="13">
        <v>0.42</v>
      </c>
      <c r="Q21" s="16">
        <v>0.51</v>
      </c>
      <c r="R21" s="13">
        <v>0.63</v>
      </c>
      <c r="S21" s="13">
        <v>0.55000000000000004</v>
      </c>
      <c r="T21" s="13">
        <v>0.5</v>
      </c>
      <c r="U21" s="13">
        <v>0.55000000000000004</v>
      </c>
      <c r="V21" s="13">
        <v>0.5</v>
      </c>
      <c r="W21" s="13">
        <v>0.33</v>
      </c>
      <c r="X21" s="16">
        <v>0.51</v>
      </c>
      <c r="Y21" s="13">
        <v>0.63</v>
      </c>
      <c r="Z21" s="13">
        <v>0.56000000000000005</v>
      </c>
      <c r="AA21" s="13">
        <v>0.5</v>
      </c>
      <c r="AB21" s="13">
        <v>0.55000000000000004</v>
      </c>
      <c r="AC21" s="13">
        <v>0.5</v>
      </c>
      <c r="AD21" s="13">
        <v>0.33</v>
      </c>
      <c r="AE21" s="16">
        <v>0.5</v>
      </c>
      <c r="AF21" s="13">
        <v>0.63</v>
      </c>
      <c r="AG21" s="13">
        <v>0.55000000000000004</v>
      </c>
      <c r="AH21" s="13">
        <v>0.5</v>
      </c>
      <c r="AI21" s="13">
        <v>0.5</v>
      </c>
      <c r="AJ21" s="13">
        <v>0.5</v>
      </c>
      <c r="AK21" s="13">
        <v>0.33</v>
      </c>
      <c r="AL21" s="16">
        <v>0.52</v>
      </c>
      <c r="AM21" s="13">
        <v>0.63</v>
      </c>
      <c r="AN21" s="13">
        <v>0.59</v>
      </c>
      <c r="AO21" s="13">
        <v>0.5</v>
      </c>
      <c r="AP21" s="13">
        <v>0.59</v>
      </c>
      <c r="AQ21" s="13">
        <v>0.5</v>
      </c>
      <c r="AR21" s="13">
        <v>0.33</v>
      </c>
      <c r="AS21" s="16">
        <v>0.52</v>
      </c>
      <c r="AT21" s="13">
        <v>0.63</v>
      </c>
      <c r="AU21" s="13">
        <v>0.56000000000000005</v>
      </c>
      <c r="AV21" s="13">
        <v>0.5</v>
      </c>
      <c r="AW21" s="13">
        <v>0.59</v>
      </c>
      <c r="AX21" s="13">
        <v>0.5</v>
      </c>
      <c r="AY21" s="13">
        <v>0.33</v>
      </c>
      <c r="AZ21" s="16">
        <v>0.52</v>
      </c>
      <c r="BA21" s="13">
        <v>0.63</v>
      </c>
      <c r="BB21" s="13">
        <v>0.56999999999999995</v>
      </c>
      <c r="BC21" s="13">
        <v>0.5</v>
      </c>
      <c r="BD21" s="13">
        <v>0.59</v>
      </c>
      <c r="BE21" s="13">
        <v>0.5</v>
      </c>
      <c r="BF21" s="13">
        <v>0.33</v>
      </c>
      <c r="BG21" s="16">
        <v>0.52</v>
      </c>
      <c r="BH21" s="13">
        <v>0.63</v>
      </c>
      <c r="BI21" s="13">
        <v>0.67</v>
      </c>
      <c r="BJ21" s="13">
        <v>0.5</v>
      </c>
      <c r="BK21" s="13">
        <v>0.59</v>
      </c>
      <c r="BL21" s="13">
        <v>0.42</v>
      </c>
      <c r="BM21" s="13">
        <v>0.33</v>
      </c>
      <c r="BN21" s="16">
        <v>0.52</v>
      </c>
      <c r="BO21" s="13">
        <v>0.63</v>
      </c>
      <c r="BP21" s="13">
        <v>0.66</v>
      </c>
      <c r="BQ21" s="13">
        <v>0.5</v>
      </c>
      <c r="BR21" s="13">
        <v>0.59</v>
      </c>
      <c r="BS21" s="13">
        <v>0.42</v>
      </c>
      <c r="BT21" s="13">
        <v>0.33</v>
      </c>
      <c r="BU21" s="16">
        <v>0.52</v>
      </c>
      <c r="BV21" s="13">
        <v>0.63</v>
      </c>
      <c r="BW21" s="13">
        <v>0.61</v>
      </c>
      <c r="BX21" s="13">
        <v>0.5</v>
      </c>
      <c r="BY21" s="13">
        <v>0.64</v>
      </c>
      <c r="BZ21" s="13">
        <v>0.42</v>
      </c>
      <c r="CA21" s="13">
        <v>0.33</v>
      </c>
      <c r="CB21" s="16">
        <v>0.52</v>
      </c>
      <c r="CC21" s="13">
        <v>0.63</v>
      </c>
      <c r="CD21" s="13">
        <v>0.63</v>
      </c>
      <c r="CE21" s="13">
        <v>0.5</v>
      </c>
      <c r="CF21" s="13">
        <v>0.64</v>
      </c>
      <c r="CG21" s="13">
        <v>0.42</v>
      </c>
      <c r="CH21" s="13">
        <v>0.33</v>
      </c>
      <c r="CI21" s="16">
        <v>0.5</v>
      </c>
      <c r="CJ21" s="13">
        <v>0.67</v>
      </c>
      <c r="CK21" s="13">
        <v>0.64</v>
      </c>
      <c r="CL21" s="13">
        <v>0.5</v>
      </c>
      <c r="CM21" s="13">
        <v>0.64</v>
      </c>
      <c r="CN21" s="13">
        <v>0.42</v>
      </c>
      <c r="CO21" s="13">
        <v>0.17</v>
      </c>
      <c r="CP21" s="16">
        <v>0.52</v>
      </c>
      <c r="CQ21" s="13">
        <v>0.75</v>
      </c>
      <c r="CR21" s="13">
        <v>0.67</v>
      </c>
      <c r="CS21" s="13">
        <v>0.5</v>
      </c>
      <c r="CT21" s="13">
        <v>0.64</v>
      </c>
      <c r="CU21" s="13">
        <v>0.42</v>
      </c>
      <c r="CV21" s="13">
        <v>0.17</v>
      </c>
      <c r="CW21" s="16">
        <v>0.53</v>
      </c>
      <c r="CX21" s="13">
        <v>0.75</v>
      </c>
      <c r="CY21" s="13">
        <v>0.69</v>
      </c>
      <c r="CZ21" s="13">
        <v>0.5</v>
      </c>
      <c r="DA21" s="13">
        <v>0.64</v>
      </c>
      <c r="DB21" s="13">
        <v>0.42</v>
      </c>
      <c r="DC21" s="13">
        <v>0.17</v>
      </c>
      <c r="DD21" s="16">
        <v>0.51</v>
      </c>
      <c r="DE21" s="13">
        <v>0.75</v>
      </c>
      <c r="DF21" s="13">
        <v>0.61</v>
      </c>
      <c r="DG21" s="13">
        <v>0.5</v>
      </c>
      <c r="DH21" s="13">
        <v>0.64</v>
      </c>
      <c r="DI21" s="13">
        <v>0.42</v>
      </c>
      <c r="DJ21" s="13">
        <v>0.17</v>
      </c>
      <c r="DK21" s="16">
        <v>0.51</v>
      </c>
      <c r="DL21" s="13">
        <v>0.75</v>
      </c>
      <c r="DM21" s="13">
        <v>0.62</v>
      </c>
      <c r="DN21" s="13">
        <v>0.5</v>
      </c>
      <c r="DO21" s="13">
        <v>0.64</v>
      </c>
      <c r="DP21" s="13">
        <v>0.42</v>
      </c>
      <c r="DQ21" s="13">
        <v>0.17</v>
      </c>
      <c r="DR21" s="16">
        <v>0.45</v>
      </c>
      <c r="DS21" s="13">
        <v>0.5</v>
      </c>
      <c r="DT21" s="13">
        <v>0.57999999999999996</v>
      </c>
      <c r="DU21" s="13">
        <v>0.5</v>
      </c>
      <c r="DV21" s="13">
        <v>0.64</v>
      </c>
      <c r="DW21" s="13">
        <v>0.33</v>
      </c>
      <c r="DX21" s="13">
        <v>0.17</v>
      </c>
      <c r="DY21" s="16">
        <v>0.46</v>
      </c>
      <c r="DZ21" s="13">
        <v>0.5</v>
      </c>
      <c r="EA21" s="13">
        <v>0.61</v>
      </c>
      <c r="EB21" s="13">
        <v>0.5</v>
      </c>
      <c r="EC21" s="13">
        <v>0.64</v>
      </c>
      <c r="ED21" s="13">
        <v>0.33</v>
      </c>
      <c r="EE21" s="13">
        <v>0.17</v>
      </c>
      <c r="EF21" s="16">
        <v>0.45</v>
      </c>
      <c r="EG21" s="13">
        <v>0.42</v>
      </c>
      <c r="EH21" s="13">
        <v>0.65</v>
      </c>
      <c r="EI21" s="13">
        <v>0.5</v>
      </c>
      <c r="EJ21" s="13">
        <v>0.64</v>
      </c>
      <c r="EK21" s="13">
        <v>0.33</v>
      </c>
      <c r="EL21" s="13">
        <v>0.17</v>
      </c>
      <c r="EM21" s="16">
        <v>0.51</v>
      </c>
      <c r="EN21" s="13">
        <v>0.5</v>
      </c>
      <c r="EO21" s="13">
        <v>0.67</v>
      </c>
      <c r="EP21" s="13">
        <v>0.5</v>
      </c>
      <c r="EQ21" s="13">
        <v>0.73</v>
      </c>
      <c r="ER21" s="13">
        <v>0.33</v>
      </c>
      <c r="ES21" s="13">
        <v>0.33</v>
      </c>
      <c r="ET21" s="16">
        <v>0.62</v>
      </c>
      <c r="EU21" s="13">
        <v>0.57999999999999996</v>
      </c>
      <c r="EV21" s="13">
        <v>0.74</v>
      </c>
      <c r="EW21" s="13">
        <v>0.5</v>
      </c>
      <c r="EX21" s="13">
        <v>0.73</v>
      </c>
      <c r="EY21" s="13">
        <v>0.5</v>
      </c>
      <c r="EZ21" s="13">
        <v>0.67</v>
      </c>
    </row>
    <row r="22" spans="1:156" ht="14.4" x14ac:dyDescent="0.3">
      <c r="A22" s="3" t="s">
        <v>46</v>
      </c>
      <c r="B22" s="3" t="s">
        <v>45</v>
      </c>
      <c r="C22" s="16">
        <v>0.6</v>
      </c>
      <c r="D22" s="13">
        <v>0.57999999999999996</v>
      </c>
      <c r="E22" s="13">
        <v>0.68</v>
      </c>
      <c r="F22" s="13">
        <v>0.75</v>
      </c>
      <c r="G22" s="13">
        <v>0.77</v>
      </c>
      <c r="H22" s="13">
        <v>0.42</v>
      </c>
      <c r="I22" s="13">
        <v>0.42</v>
      </c>
      <c r="J22" s="16">
        <v>0.61</v>
      </c>
      <c r="K22" s="13">
        <v>0.57999999999999996</v>
      </c>
      <c r="L22" s="13">
        <v>0.72</v>
      </c>
      <c r="M22" s="13">
        <v>0.75</v>
      </c>
      <c r="N22" s="13">
        <v>0.77</v>
      </c>
      <c r="O22" s="13">
        <v>0.42</v>
      </c>
      <c r="P22" s="13">
        <v>0.42</v>
      </c>
      <c r="Q22" s="16">
        <v>0.62</v>
      </c>
      <c r="R22" s="13">
        <v>0.63</v>
      </c>
      <c r="S22" s="13">
        <v>0.72</v>
      </c>
      <c r="T22" s="13">
        <v>0.75</v>
      </c>
      <c r="U22" s="13">
        <v>0.77</v>
      </c>
      <c r="V22" s="13">
        <v>0.42</v>
      </c>
      <c r="W22" s="13">
        <v>0.42</v>
      </c>
      <c r="X22" s="16">
        <v>0.57999999999999996</v>
      </c>
      <c r="Y22" s="13">
        <v>0.57999999999999996</v>
      </c>
      <c r="Z22" s="13">
        <v>0.68</v>
      </c>
      <c r="AA22" s="13">
        <v>0.75</v>
      </c>
      <c r="AB22" s="13">
        <v>0.64</v>
      </c>
      <c r="AC22" s="13">
        <v>0.42</v>
      </c>
      <c r="AD22" s="13">
        <v>0.42</v>
      </c>
      <c r="AE22" s="16">
        <v>0.6</v>
      </c>
      <c r="AF22" s="13">
        <v>0.57999999999999996</v>
      </c>
      <c r="AG22" s="13">
        <v>0.67</v>
      </c>
      <c r="AH22" s="13">
        <v>0.75</v>
      </c>
      <c r="AI22" s="13">
        <v>0.77</v>
      </c>
      <c r="AJ22" s="13">
        <v>0.42</v>
      </c>
      <c r="AK22" s="13">
        <v>0.42</v>
      </c>
      <c r="AL22" s="16">
        <v>0.62</v>
      </c>
      <c r="AM22" s="13">
        <v>0.63</v>
      </c>
      <c r="AN22" s="13">
        <v>0.68</v>
      </c>
      <c r="AO22" s="13">
        <v>0.75</v>
      </c>
      <c r="AP22" s="13">
        <v>0.82</v>
      </c>
      <c r="AQ22" s="13">
        <v>0.42</v>
      </c>
      <c r="AR22" s="13">
        <v>0.42</v>
      </c>
      <c r="AS22" s="16">
        <v>0.61</v>
      </c>
      <c r="AT22" s="13">
        <v>0.67</v>
      </c>
      <c r="AU22" s="13">
        <v>0.67</v>
      </c>
      <c r="AV22" s="13">
        <v>0.75</v>
      </c>
      <c r="AW22" s="13">
        <v>0.73</v>
      </c>
      <c r="AX22" s="13">
        <v>0.42</v>
      </c>
      <c r="AY22" s="13">
        <v>0.42</v>
      </c>
      <c r="AZ22" s="16">
        <v>0.59</v>
      </c>
      <c r="BA22" s="13">
        <v>0.67</v>
      </c>
      <c r="BB22" s="13">
        <v>0.67</v>
      </c>
      <c r="BC22" s="13">
        <v>0.75</v>
      </c>
      <c r="BD22" s="13">
        <v>0.64</v>
      </c>
      <c r="BE22" s="13">
        <v>0.42</v>
      </c>
      <c r="BF22" s="13">
        <v>0.42</v>
      </c>
      <c r="BG22" s="16">
        <v>0.59</v>
      </c>
      <c r="BH22" s="13">
        <v>0.67</v>
      </c>
      <c r="BI22" s="13">
        <v>0.68</v>
      </c>
      <c r="BJ22" s="13">
        <v>0.75</v>
      </c>
      <c r="BK22" s="13">
        <v>0.64</v>
      </c>
      <c r="BL22" s="13">
        <v>0.42</v>
      </c>
      <c r="BM22" s="13">
        <v>0.42</v>
      </c>
      <c r="BN22" s="16">
        <v>0.6</v>
      </c>
      <c r="BO22" s="13">
        <v>0.67</v>
      </c>
      <c r="BP22" s="13">
        <v>0.69</v>
      </c>
      <c r="BQ22" s="13">
        <v>0.75</v>
      </c>
      <c r="BR22" s="13">
        <v>0.73</v>
      </c>
      <c r="BS22" s="13">
        <v>0.42</v>
      </c>
      <c r="BT22" s="13">
        <v>0.33</v>
      </c>
      <c r="BU22" s="16">
        <v>0.6</v>
      </c>
      <c r="BV22" s="13">
        <v>0.67</v>
      </c>
      <c r="BW22" s="13">
        <v>0.68</v>
      </c>
      <c r="BX22" s="13">
        <v>0.75</v>
      </c>
      <c r="BY22" s="13">
        <v>0.77</v>
      </c>
      <c r="BZ22" s="13">
        <v>0.42</v>
      </c>
      <c r="CA22" s="13">
        <v>0.33</v>
      </c>
      <c r="CB22" s="16">
        <v>0.6</v>
      </c>
      <c r="CC22" s="13">
        <v>0.67</v>
      </c>
      <c r="CD22" s="13">
        <v>0.7</v>
      </c>
      <c r="CE22" s="13">
        <v>0.75</v>
      </c>
      <c r="CF22" s="13">
        <v>0.73</v>
      </c>
      <c r="CG22" s="13">
        <v>0.42</v>
      </c>
      <c r="CH22" s="13">
        <v>0.33</v>
      </c>
      <c r="CI22" s="16">
        <v>0.6</v>
      </c>
      <c r="CJ22" s="13">
        <v>0.71</v>
      </c>
      <c r="CK22" s="13">
        <v>0.67</v>
      </c>
      <c r="CL22" s="13">
        <v>0.75</v>
      </c>
      <c r="CM22" s="13">
        <v>0.73</v>
      </c>
      <c r="CN22" s="13">
        <v>0.42</v>
      </c>
      <c r="CO22" s="13">
        <v>0.33</v>
      </c>
      <c r="CP22" s="16">
        <v>0.6</v>
      </c>
      <c r="CQ22" s="13">
        <v>0.71</v>
      </c>
      <c r="CR22" s="13">
        <v>0.67</v>
      </c>
      <c r="CS22" s="13">
        <v>0.75</v>
      </c>
      <c r="CT22" s="13">
        <v>0.73</v>
      </c>
      <c r="CU22" s="13">
        <v>0.42</v>
      </c>
      <c r="CV22" s="13">
        <v>0.33</v>
      </c>
      <c r="CW22" s="16">
        <v>0.6</v>
      </c>
      <c r="CX22" s="13">
        <v>0.71</v>
      </c>
      <c r="CY22" s="13">
        <v>0.65</v>
      </c>
      <c r="CZ22" s="13">
        <v>0.75</v>
      </c>
      <c r="DA22" s="13">
        <v>0.73</v>
      </c>
      <c r="DB22" s="13">
        <v>0.42</v>
      </c>
      <c r="DC22" s="13">
        <v>0.33</v>
      </c>
      <c r="DD22" s="16">
        <v>0.6</v>
      </c>
      <c r="DE22" s="13">
        <v>0.71</v>
      </c>
      <c r="DF22" s="13">
        <v>0.66</v>
      </c>
      <c r="DG22" s="13">
        <v>0.75</v>
      </c>
      <c r="DH22" s="13">
        <v>0.73</v>
      </c>
      <c r="DI22" s="13">
        <v>0.42</v>
      </c>
      <c r="DJ22" s="13">
        <v>0.33</v>
      </c>
      <c r="DK22" s="16">
        <v>0.61</v>
      </c>
      <c r="DL22" s="13">
        <v>0.71</v>
      </c>
      <c r="DM22" s="13">
        <v>0.72</v>
      </c>
      <c r="DN22" s="13">
        <v>0.75</v>
      </c>
      <c r="DO22" s="13">
        <v>0.73</v>
      </c>
      <c r="DP22" s="13">
        <v>0.42</v>
      </c>
      <c r="DQ22" s="13">
        <v>0.33</v>
      </c>
      <c r="DR22" s="16">
        <v>0.61</v>
      </c>
      <c r="DS22" s="13">
        <v>0.71</v>
      </c>
      <c r="DT22" s="13">
        <v>0.77</v>
      </c>
      <c r="DU22" s="13">
        <v>0.75</v>
      </c>
      <c r="DV22" s="13">
        <v>0.77</v>
      </c>
      <c r="DW22" s="13">
        <v>0.33</v>
      </c>
      <c r="DX22" s="13">
        <v>0.33</v>
      </c>
      <c r="DY22" s="16">
        <v>0.61</v>
      </c>
      <c r="DZ22" s="13">
        <v>0.75</v>
      </c>
      <c r="EA22" s="13">
        <v>0.77</v>
      </c>
      <c r="EB22" s="13">
        <v>0.75</v>
      </c>
      <c r="EC22" s="13">
        <v>0.73</v>
      </c>
      <c r="ED22" s="13">
        <v>0.33</v>
      </c>
      <c r="EE22" s="13">
        <v>0.33</v>
      </c>
      <c r="EF22" s="16">
        <v>0.61</v>
      </c>
      <c r="EG22" s="13">
        <v>0.75</v>
      </c>
      <c r="EH22" s="13">
        <v>0.78</v>
      </c>
      <c r="EI22" s="13">
        <v>0.75</v>
      </c>
      <c r="EJ22" s="13">
        <v>0.82</v>
      </c>
      <c r="EK22" s="13">
        <v>0.33</v>
      </c>
      <c r="EL22" s="13">
        <v>0.25</v>
      </c>
      <c r="EM22" s="16">
        <v>0.56999999999999995</v>
      </c>
      <c r="EN22" s="13">
        <v>0.75</v>
      </c>
      <c r="EO22" s="13">
        <v>0.59</v>
      </c>
      <c r="EP22" s="13">
        <v>0.75</v>
      </c>
      <c r="EQ22" s="13">
        <v>0.64</v>
      </c>
      <c r="ER22" s="13">
        <v>0.33</v>
      </c>
      <c r="ES22" s="13">
        <v>0.33</v>
      </c>
      <c r="ET22" s="16">
        <v>0.74</v>
      </c>
      <c r="EU22" s="13">
        <v>0.83</v>
      </c>
      <c r="EV22" s="13">
        <v>0.87</v>
      </c>
      <c r="EW22" s="13">
        <v>0.75</v>
      </c>
      <c r="EX22" s="13">
        <v>0.64</v>
      </c>
      <c r="EY22" s="13">
        <v>0.67</v>
      </c>
      <c r="EZ22" s="13">
        <v>0.67</v>
      </c>
    </row>
    <row r="23" spans="1:156" ht="14.4" x14ac:dyDescent="0.3">
      <c r="A23" s="3" t="s">
        <v>48</v>
      </c>
      <c r="B23" s="3" t="s">
        <v>47</v>
      </c>
      <c r="C23" s="16">
        <v>0.53</v>
      </c>
      <c r="D23" s="13">
        <v>0.57999999999999996</v>
      </c>
      <c r="E23" s="13">
        <v>0.61</v>
      </c>
      <c r="F23" s="13">
        <v>0.5</v>
      </c>
      <c r="G23" s="13">
        <v>0.59</v>
      </c>
      <c r="H23" s="13">
        <v>0.5</v>
      </c>
      <c r="I23" s="13">
        <v>0.42</v>
      </c>
      <c r="J23" s="16">
        <v>0.51</v>
      </c>
      <c r="K23" s="13">
        <v>0.57999999999999996</v>
      </c>
      <c r="L23" s="13">
        <v>0.66</v>
      </c>
      <c r="M23" s="13">
        <v>0.38</v>
      </c>
      <c r="N23" s="13">
        <v>0.59</v>
      </c>
      <c r="O23" s="13">
        <v>0.5</v>
      </c>
      <c r="P23" s="13">
        <v>0.33</v>
      </c>
      <c r="Q23" s="16">
        <v>0.51</v>
      </c>
      <c r="R23" s="13">
        <v>0.57999999999999996</v>
      </c>
      <c r="S23" s="13">
        <v>0.64</v>
      </c>
      <c r="T23" s="13">
        <v>0.38</v>
      </c>
      <c r="U23" s="13">
        <v>0.64</v>
      </c>
      <c r="V23" s="13">
        <v>0.5</v>
      </c>
      <c r="W23" s="13">
        <v>0.33</v>
      </c>
      <c r="X23" s="16">
        <v>0.49</v>
      </c>
      <c r="Y23" s="13">
        <v>0.54</v>
      </c>
      <c r="Z23" s="13">
        <v>0.64</v>
      </c>
      <c r="AA23" s="13">
        <v>0.25</v>
      </c>
      <c r="AB23" s="13">
        <v>0.68</v>
      </c>
      <c r="AC23" s="13">
        <v>0.5</v>
      </c>
      <c r="AD23" s="13">
        <v>0.33</v>
      </c>
      <c r="AE23" s="16">
        <v>0.49</v>
      </c>
      <c r="AF23" s="13">
        <v>0.54</v>
      </c>
      <c r="AG23" s="13">
        <v>0.64</v>
      </c>
      <c r="AH23" s="13">
        <v>0.25</v>
      </c>
      <c r="AI23" s="13">
        <v>0.68</v>
      </c>
      <c r="AJ23" s="13">
        <v>0.5</v>
      </c>
      <c r="AK23" s="13">
        <v>0.33</v>
      </c>
      <c r="AL23" s="16">
        <v>0.49</v>
      </c>
      <c r="AM23" s="13">
        <v>0.54</v>
      </c>
      <c r="AN23" s="13">
        <v>0.61</v>
      </c>
      <c r="AO23" s="13">
        <v>0.25</v>
      </c>
      <c r="AP23" s="13">
        <v>0.68</v>
      </c>
      <c r="AQ23" s="13">
        <v>0.5</v>
      </c>
      <c r="AR23" s="13">
        <v>0.33</v>
      </c>
      <c r="AS23" s="16">
        <v>0.48</v>
      </c>
      <c r="AT23" s="13">
        <v>0.54</v>
      </c>
      <c r="AU23" s="13">
        <v>0.6</v>
      </c>
      <c r="AV23" s="13">
        <v>0.25</v>
      </c>
      <c r="AW23" s="13">
        <v>0.64</v>
      </c>
      <c r="AX23" s="13">
        <v>0.5</v>
      </c>
      <c r="AY23" s="13">
        <v>0.33</v>
      </c>
      <c r="AZ23" s="16">
        <v>0.49</v>
      </c>
      <c r="BA23" s="13">
        <v>0.54</v>
      </c>
      <c r="BB23" s="13">
        <v>0.61</v>
      </c>
      <c r="BC23" s="13">
        <v>0.25</v>
      </c>
      <c r="BD23" s="13">
        <v>0.64</v>
      </c>
      <c r="BE23" s="13">
        <v>0.5</v>
      </c>
      <c r="BF23" s="13">
        <v>0.42</v>
      </c>
      <c r="BG23" s="16">
        <v>0.49</v>
      </c>
      <c r="BH23" s="13">
        <v>0.54</v>
      </c>
      <c r="BI23" s="13">
        <v>0.61</v>
      </c>
      <c r="BJ23" s="13">
        <v>0.25</v>
      </c>
      <c r="BK23" s="13">
        <v>0.64</v>
      </c>
      <c r="BL23" s="13">
        <v>0.5</v>
      </c>
      <c r="BM23" s="13">
        <v>0.42</v>
      </c>
      <c r="BN23" s="16">
        <v>0.49</v>
      </c>
      <c r="BO23" s="13">
        <v>0.54</v>
      </c>
      <c r="BP23" s="13">
        <v>0.65</v>
      </c>
      <c r="BQ23" s="13">
        <v>0.25</v>
      </c>
      <c r="BR23" s="13">
        <v>0.59</v>
      </c>
      <c r="BS23" s="13">
        <v>0.5</v>
      </c>
      <c r="BT23" s="13">
        <v>0.42</v>
      </c>
      <c r="BU23" s="16">
        <v>0.44</v>
      </c>
      <c r="BV23" s="13">
        <v>0.38</v>
      </c>
      <c r="BW23" s="13">
        <v>0.59</v>
      </c>
      <c r="BX23" s="13">
        <v>0.25</v>
      </c>
      <c r="BY23" s="13">
        <v>0.59</v>
      </c>
      <c r="BZ23" s="13">
        <v>0.5</v>
      </c>
      <c r="CA23" s="13">
        <v>0.33</v>
      </c>
      <c r="CB23" s="16">
        <v>0.46</v>
      </c>
      <c r="CC23" s="13">
        <v>0.42</v>
      </c>
      <c r="CD23" s="13">
        <v>0.67</v>
      </c>
      <c r="CE23" s="13">
        <v>0.25</v>
      </c>
      <c r="CF23" s="13">
        <v>0.59</v>
      </c>
      <c r="CG23" s="13">
        <v>0.5</v>
      </c>
      <c r="CH23" s="13">
        <v>0.33</v>
      </c>
      <c r="CI23" s="16">
        <v>0.46</v>
      </c>
      <c r="CJ23" s="13">
        <v>0.42</v>
      </c>
      <c r="CK23" s="13">
        <v>0.67</v>
      </c>
      <c r="CL23" s="13">
        <v>0.25</v>
      </c>
      <c r="CM23" s="13">
        <v>0.59</v>
      </c>
      <c r="CN23" s="13">
        <v>0.5</v>
      </c>
      <c r="CO23" s="13">
        <v>0.33</v>
      </c>
      <c r="CP23" s="16">
        <v>0.47</v>
      </c>
      <c r="CQ23" s="13">
        <v>0.46</v>
      </c>
      <c r="CR23" s="13">
        <v>0.72</v>
      </c>
      <c r="CS23" s="13">
        <v>0.25</v>
      </c>
      <c r="CT23" s="13">
        <v>0.59</v>
      </c>
      <c r="CU23" s="13">
        <v>0.5</v>
      </c>
      <c r="CV23" s="13">
        <v>0.33</v>
      </c>
      <c r="CW23" s="16">
        <v>0.5</v>
      </c>
      <c r="CX23" s="13">
        <v>0.46</v>
      </c>
      <c r="CY23" s="13">
        <v>0.72</v>
      </c>
      <c r="CZ23" s="13">
        <v>0.25</v>
      </c>
      <c r="DA23" s="13">
        <v>0.64</v>
      </c>
      <c r="DB23" s="13">
        <v>0.5</v>
      </c>
      <c r="DC23" s="13">
        <v>0.42</v>
      </c>
      <c r="DD23" s="16">
        <v>0.49</v>
      </c>
      <c r="DE23" s="13">
        <v>0.46</v>
      </c>
      <c r="DF23" s="13">
        <v>0.69</v>
      </c>
      <c r="DG23" s="13">
        <v>0.25</v>
      </c>
      <c r="DH23" s="13">
        <v>0.64</v>
      </c>
      <c r="DI23" s="13">
        <v>0.5</v>
      </c>
      <c r="DJ23" s="13">
        <v>0.42</v>
      </c>
      <c r="DK23" s="16">
        <v>0.49</v>
      </c>
      <c r="DL23" s="13">
        <v>0.46</v>
      </c>
      <c r="DM23" s="13">
        <v>0.7</v>
      </c>
      <c r="DN23" s="13">
        <v>0.25</v>
      </c>
      <c r="DO23" s="13">
        <v>0.64</v>
      </c>
      <c r="DP23" s="13">
        <v>0.5</v>
      </c>
      <c r="DQ23" s="13">
        <v>0.42</v>
      </c>
      <c r="DR23" s="16">
        <v>0.5</v>
      </c>
      <c r="DS23" s="13">
        <v>0.5</v>
      </c>
      <c r="DT23" s="13">
        <v>0.68</v>
      </c>
      <c r="DU23" s="13">
        <v>0.25</v>
      </c>
      <c r="DV23" s="13">
        <v>0.64</v>
      </c>
      <c r="DW23" s="13">
        <v>0.5</v>
      </c>
      <c r="DX23" s="13">
        <v>0.42</v>
      </c>
      <c r="DY23" s="16">
        <v>0.5</v>
      </c>
      <c r="DZ23" s="13">
        <v>0.5</v>
      </c>
      <c r="EA23" s="13">
        <v>0.69</v>
      </c>
      <c r="EB23" s="13">
        <v>0.25</v>
      </c>
      <c r="EC23" s="13">
        <v>0.64</v>
      </c>
      <c r="ED23" s="13">
        <v>0.5</v>
      </c>
      <c r="EE23" s="13">
        <v>0.42</v>
      </c>
      <c r="EF23" s="16">
        <v>0.51</v>
      </c>
      <c r="EG23" s="13">
        <v>0.5</v>
      </c>
      <c r="EH23" s="13">
        <v>0.73</v>
      </c>
      <c r="EI23" s="13">
        <v>0.25</v>
      </c>
      <c r="EJ23" s="13">
        <v>0.64</v>
      </c>
      <c r="EK23" s="13">
        <v>0.5</v>
      </c>
      <c r="EL23" s="13">
        <v>0.42</v>
      </c>
      <c r="EM23" s="16">
        <v>0.49</v>
      </c>
      <c r="EN23" s="13">
        <v>0.5</v>
      </c>
      <c r="EO23" s="13">
        <v>0.67</v>
      </c>
      <c r="EP23" s="13">
        <v>0.25</v>
      </c>
      <c r="EQ23" s="13">
        <v>0.55000000000000004</v>
      </c>
      <c r="ER23" s="13">
        <v>0.5</v>
      </c>
      <c r="ES23" s="13">
        <v>0.5</v>
      </c>
      <c r="ET23" s="16">
        <v>0.49</v>
      </c>
      <c r="EU23" s="13">
        <v>0.5</v>
      </c>
      <c r="EV23" s="13">
        <v>0.65</v>
      </c>
      <c r="EW23" s="13">
        <v>0.25</v>
      </c>
      <c r="EX23" s="13">
        <v>0.55000000000000004</v>
      </c>
      <c r="EY23" s="13">
        <v>0.5</v>
      </c>
      <c r="EZ23" s="13">
        <v>0.5</v>
      </c>
    </row>
    <row r="24" spans="1:156" ht="14.4" x14ac:dyDescent="0.3">
      <c r="A24" s="3" t="s">
        <v>266</v>
      </c>
      <c r="B24" s="3" t="s">
        <v>267</v>
      </c>
      <c r="C24" s="16">
        <v>0.57999999999999996</v>
      </c>
      <c r="D24" s="13">
        <v>0.71</v>
      </c>
      <c r="E24" s="13">
        <v>0.67</v>
      </c>
      <c r="F24" s="13">
        <v>0.5</v>
      </c>
      <c r="G24" s="13">
        <v>0.68</v>
      </c>
      <c r="H24" s="13">
        <v>0.57999999999999996</v>
      </c>
      <c r="I24" s="13">
        <v>0.33</v>
      </c>
      <c r="J24" s="16">
        <v>0.59</v>
      </c>
      <c r="K24" s="13">
        <v>0.75</v>
      </c>
      <c r="L24" s="13">
        <v>0.67</v>
      </c>
      <c r="M24" s="13">
        <v>0.5</v>
      </c>
      <c r="N24" s="13">
        <v>0.68</v>
      </c>
      <c r="O24" s="13">
        <v>0.57999999999999996</v>
      </c>
      <c r="P24" s="13">
        <v>0.33</v>
      </c>
      <c r="Q24" s="16">
        <v>0.57999999999999996</v>
      </c>
      <c r="R24" s="13">
        <v>0.79</v>
      </c>
      <c r="S24" s="13">
        <v>0.61</v>
      </c>
      <c r="T24" s="13">
        <v>0.5</v>
      </c>
      <c r="U24" s="13">
        <v>0.64</v>
      </c>
      <c r="V24" s="13">
        <v>0.57999999999999996</v>
      </c>
      <c r="W24" s="13">
        <v>0.33</v>
      </c>
      <c r="X24" s="16">
        <v>0.57999999999999996</v>
      </c>
      <c r="Y24" s="13">
        <v>0.79</v>
      </c>
      <c r="Z24" s="13">
        <v>0.63</v>
      </c>
      <c r="AA24" s="13">
        <v>0.5</v>
      </c>
      <c r="AB24" s="13">
        <v>0.64</v>
      </c>
      <c r="AC24" s="13">
        <v>0.57999999999999996</v>
      </c>
      <c r="AD24" s="13">
        <v>0.33</v>
      </c>
      <c r="AE24" s="16">
        <v>0.55000000000000004</v>
      </c>
      <c r="AF24" s="13">
        <v>0.79</v>
      </c>
      <c r="AG24" s="13">
        <v>0.61</v>
      </c>
      <c r="AH24" s="13">
        <v>0.5</v>
      </c>
      <c r="AI24" s="13">
        <v>0.5</v>
      </c>
      <c r="AJ24" s="13">
        <v>0.57999999999999996</v>
      </c>
      <c r="AK24" s="13">
        <v>0.33</v>
      </c>
      <c r="AL24" s="16">
        <v>0.56000000000000005</v>
      </c>
      <c r="AM24" s="13">
        <v>0.79</v>
      </c>
      <c r="AN24" s="13">
        <v>0.64</v>
      </c>
      <c r="AO24" s="13">
        <v>0.5</v>
      </c>
      <c r="AP24" s="13">
        <v>0.5</v>
      </c>
      <c r="AQ24" s="13">
        <v>0.57999999999999996</v>
      </c>
      <c r="AR24" s="13">
        <v>0.33</v>
      </c>
      <c r="AS24" s="16">
        <v>0.56000000000000005</v>
      </c>
      <c r="AT24" s="13">
        <v>0.79</v>
      </c>
      <c r="AU24" s="13">
        <v>0.63</v>
      </c>
      <c r="AV24" s="13">
        <v>0.5</v>
      </c>
      <c r="AW24" s="13">
        <v>0.55000000000000004</v>
      </c>
      <c r="AX24" s="13">
        <v>0.57999999999999996</v>
      </c>
      <c r="AY24" s="13">
        <v>0.33</v>
      </c>
      <c r="AZ24" s="16">
        <v>0.56999999999999995</v>
      </c>
      <c r="BA24" s="13">
        <v>0.79</v>
      </c>
      <c r="BB24" s="13">
        <v>0.65</v>
      </c>
      <c r="BC24" s="13">
        <v>0.5</v>
      </c>
      <c r="BD24" s="13">
        <v>0.55000000000000004</v>
      </c>
      <c r="BE24" s="13">
        <v>0.57999999999999996</v>
      </c>
      <c r="BF24" s="13">
        <v>0.33</v>
      </c>
      <c r="BG24" s="16">
        <v>0.56000000000000005</v>
      </c>
      <c r="BH24" s="13">
        <v>0.79</v>
      </c>
      <c r="BI24" s="13">
        <v>0.61</v>
      </c>
      <c r="BJ24" s="13">
        <v>0.5</v>
      </c>
      <c r="BK24" s="13">
        <v>0.55000000000000004</v>
      </c>
      <c r="BL24" s="13">
        <v>0.57999999999999996</v>
      </c>
      <c r="BM24" s="13">
        <v>0.33</v>
      </c>
      <c r="BN24" s="16">
        <v>0.56000000000000005</v>
      </c>
      <c r="BO24" s="13">
        <v>0.79</v>
      </c>
      <c r="BP24" s="13">
        <v>0.59</v>
      </c>
      <c r="BQ24" s="13">
        <v>0.5</v>
      </c>
      <c r="BR24" s="13">
        <v>0.55000000000000004</v>
      </c>
      <c r="BS24" s="13">
        <v>0.57999999999999996</v>
      </c>
      <c r="BT24" s="13">
        <v>0.33</v>
      </c>
      <c r="BU24" s="16">
        <v>0.56999999999999995</v>
      </c>
      <c r="BV24" s="13">
        <v>0.79</v>
      </c>
      <c r="BW24" s="13">
        <v>0.63</v>
      </c>
      <c r="BX24" s="13">
        <v>0.5</v>
      </c>
      <c r="BY24" s="13">
        <v>0.59</v>
      </c>
      <c r="BZ24" s="13">
        <v>0.57999999999999996</v>
      </c>
      <c r="CA24" s="13">
        <v>0.33</v>
      </c>
      <c r="CB24" s="16">
        <v>0.56999999999999995</v>
      </c>
      <c r="CC24" s="13">
        <v>0.79</v>
      </c>
      <c r="CD24" s="13">
        <v>0.65</v>
      </c>
      <c r="CE24" s="13">
        <v>0.5</v>
      </c>
      <c r="CF24" s="13">
        <v>0.55000000000000004</v>
      </c>
      <c r="CG24" s="13">
        <v>0.57999999999999996</v>
      </c>
      <c r="CH24" s="13">
        <v>0.33</v>
      </c>
      <c r="CI24" s="16">
        <v>0.56999999999999995</v>
      </c>
      <c r="CJ24" s="13">
        <v>0.79</v>
      </c>
      <c r="CK24" s="13">
        <v>0.64</v>
      </c>
      <c r="CL24" s="13">
        <v>0.5</v>
      </c>
      <c r="CM24" s="13">
        <v>0.59</v>
      </c>
      <c r="CN24" s="13">
        <v>0.57999999999999996</v>
      </c>
      <c r="CO24" s="13">
        <v>0.33</v>
      </c>
      <c r="CP24" s="16">
        <v>0.56999999999999995</v>
      </c>
      <c r="CQ24" s="13">
        <v>0.79</v>
      </c>
      <c r="CR24" s="13">
        <v>0.61</v>
      </c>
      <c r="CS24" s="13">
        <v>0.5</v>
      </c>
      <c r="CT24" s="13">
        <v>0.59</v>
      </c>
      <c r="CU24" s="13">
        <v>0.57999999999999996</v>
      </c>
      <c r="CV24" s="13">
        <v>0.33</v>
      </c>
      <c r="CW24" s="16">
        <v>0.57999999999999996</v>
      </c>
      <c r="CX24" s="13">
        <v>0.79</v>
      </c>
      <c r="CY24" s="13">
        <v>0.67</v>
      </c>
      <c r="CZ24" s="13">
        <v>0.5</v>
      </c>
      <c r="DA24" s="13">
        <v>0.59</v>
      </c>
      <c r="DB24" s="13">
        <v>0.57999999999999996</v>
      </c>
      <c r="DC24" s="13">
        <v>0.33</v>
      </c>
      <c r="DD24" s="16">
        <v>0.55000000000000004</v>
      </c>
      <c r="DE24" s="13">
        <v>0.67</v>
      </c>
      <c r="DF24" s="13">
        <v>0.65</v>
      </c>
      <c r="DG24" s="13">
        <v>0.5</v>
      </c>
      <c r="DH24" s="13">
        <v>0.59</v>
      </c>
      <c r="DI24" s="13">
        <v>0.57999999999999996</v>
      </c>
      <c r="DJ24" s="13">
        <v>0.33</v>
      </c>
      <c r="DK24" s="16">
        <v>0.56000000000000005</v>
      </c>
      <c r="DL24" s="13">
        <v>0.67</v>
      </c>
      <c r="DM24" s="13">
        <v>0.64</v>
      </c>
      <c r="DN24" s="13">
        <v>0.5</v>
      </c>
      <c r="DO24" s="13">
        <v>0.64</v>
      </c>
      <c r="DP24" s="13">
        <v>0.57999999999999996</v>
      </c>
      <c r="DQ24" s="13">
        <v>0.33</v>
      </c>
      <c r="DR24" s="16">
        <v>0.56999999999999995</v>
      </c>
      <c r="DS24" s="13">
        <v>0.67</v>
      </c>
      <c r="DT24" s="13">
        <v>0.67</v>
      </c>
      <c r="DU24" s="13">
        <v>0.5</v>
      </c>
      <c r="DV24" s="13">
        <v>0.64</v>
      </c>
      <c r="DW24" s="13">
        <v>0.57999999999999996</v>
      </c>
      <c r="DX24" s="13">
        <v>0.33</v>
      </c>
      <c r="DY24" s="16">
        <v>0.56000000000000005</v>
      </c>
      <c r="DZ24" s="13">
        <v>0.67</v>
      </c>
      <c r="EA24" s="13">
        <v>0.65</v>
      </c>
      <c r="EB24" s="13">
        <v>0.5</v>
      </c>
      <c r="EC24" s="13">
        <v>0.64</v>
      </c>
      <c r="ED24" s="13">
        <v>0.57999999999999996</v>
      </c>
      <c r="EE24" s="13">
        <v>0.33</v>
      </c>
      <c r="EF24" s="16">
        <v>0.47</v>
      </c>
      <c r="EG24" s="13">
        <v>0.5</v>
      </c>
      <c r="EH24" s="13">
        <v>0.55000000000000004</v>
      </c>
      <c r="EI24" s="13">
        <v>0.5</v>
      </c>
      <c r="EJ24" s="13">
        <v>0.64</v>
      </c>
      <c r="EK24" s="13">
        <v>0.5</v>
      </c>
      <c r="EL24" s="13">
        <v>0.17</v>
      </c>
      <c r="EM24" s="16">
        <v>0.33</v>
      </c>
      <c r="EN24" s="13">
        <v>0.42</v>
      </c>
      <c r="EO24" s="13">
        <v>0.57999999999999996</v>
      </c>
      <c r="EP24" s="13">
        <v>0.5</v>
      </c>
      <c r="EQ24" s="13">
        <v>0</v>
      </c>
      <c r="ER24" s="13">
        <v>0.33</v>
      </c>
      <c r="ES24" s="13">
        <v>0.17</v>
      </c>
      <c r="ET24" s="16">
        <v>0.38</v>
      </c>
      <c r="EU24" s="13">
        <v>0.5</v>
      </c>
      <c r="EV24" s="13">
        <v>0.36</v>
      </c>
      <c r="EW24" s="13">
        <v>0.5</v>
      </c>
      <c r="EX24" s="13">
        <v>0.09</v>
      </c>
      <c r="EY24" s="13">
        <v>0.67</v>
      </c>
      <c r="EZ24" s="13">
        <v>0.17</v>
      </c>
    </row>
    <row r="25" spans="1:156" ht="14.4" x14ac:dyDescent="0.3">
      <c r="A25" s="3" t="s">
        <v>50</v>
      </c>
      <c r="B25" s="3" t="s">
        <v>49</v>
      </c>
      <c r="C25" s="16">
        <v>0.51</v>
      </c>
      <c r="D25" s="13">
        <v>0.57999999999999996</v>
      </c>
      <c r="E25" s="13">
        <v>0.65</v>
      </c>
      <c r="F25" s="13">
        <v>0.5</v>
      </c>
      <c r="G25" s="13">
        <v>0.41</v>
      </c>
      <c r="H25" s="13">
        <v>0.57999999999999996</v>
      </c>
      <c r="I25" s="13">
        <v>0.33</v>
      </c>
      <c r="J25" s="16">
        <v>0.52</v>
      </c>
      <c r="K25" s="13">
        <v>0.57999999999999996</v>
      </c>
      <c r="L25" s="13">
        <v>0.67</v>
      </c>
      <c r="M25" s="13">
        <v>0.5</v>
      </c>
      <c r="N25" s="13">
        <v>0.45</v>
      </c>
      <c r="O25" s="13">
        <v>0.57999999999999996</v>
      </c>
      <c r="P25" s="13">
        <v>0.33</v>
      </c>
      <c r="Q25" s="16">
        <v>0.53</v>
      </c>
      <c r="R25" s="13">
        <v>0.57999999999999996</v>
      </c>
      <c r="S25" s="13">
        <v>0.66</v>
      </c>
      <c r="T25" s="13">
        <v>0.5</v>
      </c>
      <c r="U25" s="13">
        <v>0.55000000000000004</v>
      </c>
      <c r="V25" s="13">
        <v>0.57999999999999996</v>
      </c>
      <c r="W25" s="13">
        <v>0.33</v>
      </c>
      <c r="X25" s="16">
        <v>0.53</v>
      </c>
      <c r="Y25" s="13">
        <v>0.57999999999999996</v>
      </c>
      <c r="Z25" s="13">
        <v>0.63</v>
      </c>
      <c r="AA25" s="13">
        <v>0.5</v>
      </c>
      <c r="AB25" s="13">
        <v>0.55000000000000004</v>
      </c>
      <c r="AC25" s="13">
        <v>0.57999999999999996</v>
      </c>
      <c r="AD25" s="13">
        <v>0.33</v>
      </c>
      <c r="AE25" s="16">
        <v>0.53</v>
      </c>
      <c r="AF25" s="13">
        <v>0.57999999999999996</v>
      </c>
      <c r="AG25" s="13">
        <v>0.65</v>
      </c>
      <c r="AH25" s="13">
        <v>0.5</v>
      </c>
      <c r="AI25" s="13">
        <v>0.55000000000000004</v>
      </c>
      <c r="AJ25" s="13">
        <v>0.57999999999999996</v>
      </c>
      <c r="AK25" s="13">
        <v>0.33</v>
      </c>
      <c r="AL25" s="16">
        <v>0.55000000000000004</v>
      </c>
      <c r="AM25" s="13">
        <v>0.57999999999999996</v>
      </c>
      <c r="AN25" s="13">
        <v>0.66</v>
      </c>
      <c r="AO25" s="13">
        <v>0.5</v>
      </c>
      <c r="AP25" s="13">
        <v>0.55000000000000004</v>
      </c>
      <c r="AQ25" s="13">
        <v>0.57999999999999996</v>
      </c>
      <c r="AR25" s="13">
        <v>0.42</v>
      </c>
      <c r="AS25" s="16">
        <v>0.56999999999999995</v>
      </c>
      <c r="AT25" s="13">
        <v>0.57999999999999996</v>
      </c>
      <c r="AU25" s="13">
        <v>0.72</v>
      </c>
      <c r="AV25" s="13">
        <v>0.5</v>
      </c>
      <c r="AW25" s="13">
        <v>0.59</v>
      </c>
      <c r="AX25" s="13">
        <v>0.57999999999999996</v>
      </c>
      <c r="AY25" s="13">
        <v>0.42</v>
      </c>
      <c r="AZ25" s="16">
        <v>0.5</v>
      </c>
      <c r="BA25" s="13">
        <v>0.42</v>
      </c>
      <c r="BB25" s="13">
        <v>0.61</v>
      </c>
      <c r="BC25" s="13">
        <v>0.5</v>
      </c>
      <c r="BD25" s="13">
        <v>0.64</v>
      </c>
      <c r="BE25" s="13">
        <v>0.42</v>
      </c>
      <c r="BF25" s="13">
        <v>0.42</v>
      </c>
      <c r="BG25" s="16">
        <v>0.5</v>
      </c>
      <c r="BH25" s="13">
        <v>0.42</v>
      </c>
      <c r="BI25" s="13">
        <v>0.61</v>
      </c>
      <c r="BJ25" s="13">
        <v>0.5</v>
      </c>
      <c r="BK25" s="13">
        <v>0.64</v>
      </c>
      <c r="BL25" s="13">
        <v>0.42</v>
      </c>
      <c r="BM25" s="13">
        <v>0.42</v>
      </c>
      <c r="BN25" s="16">
        <v>0.49</v>
      </c>
      <c r="BO25" s="13">
        <v>0.42</v>
      </c>
      <c r="BP25" s="13">
        <v>0.62</v>
      </c>
      <c r="BQ25" s="13">
        <v>0.5</v>
      </c>
      <c r="BR25" s="13">
        <v>0.59</v>
      </c>
      <c r="BS25" s="13">
        <v>0.42</v>
      </c>
      <c r="BT25" s="13">
        <v>0.42</v>
      </c>
      <c r="BU25" s="16">
        <v>0.5</v>
      </c>
      <c r="BV25" s="13">
        <v>0.42</v>
      </c>
      <c r="BW25" s="13">
        <v>0.65</v>
      </c>
      <c r="BX25" s="13">
        <v>0.5</v>
      </c>
      <c r="BY25" s="13">
        <v>0.59</v>
      </c>
      <c r="BZ25" s="13">
        <v>0.42</v>
      </c>
      <c r="CA25" s="13">
        <v>0.42</v>
      </c>
      <c r="CB25" s="16">
        <v>0.52</v>
      </c>
      <c r="CC25" s="13">
        <v>0.42</v>
      </c>
      <c r="CD25" s="13">
        <v>0.66</v>
      </c>
      <c r="CE25" s="13">
        <v>0.5</v>
      </c>
      <c r="CF25" s="13">
        <v>0.68</v>
      </c>
      <c r="CG25" s="13">
        <v>0.42</v>
      </c>
      <c r="CH25" s="13">
        <v>0.42</v>
      </c>
      <c r="CI25" s="16">
        <v>0.54</v>
      </c>
      <c r="CJ25" s="13">
        <v>0.5</v>
      </c>
      <c r="CK25" s="13">
        <v>0.63</v>
      </c>
      <c r="CL25" s="13">
        <v>0.5</v>
      </c>
      <c r="CM25" s="13">
        <v>0.68</v>
      </c>
      <c r="CN25" s="13">
        <v>0.5</v>
      </c>
      <c r="CO25" s="13">
        <v>0.42</v>
      </c>
      <c r="CP25" s="16">
        <v>0.51</v>
      </c>
      <c r="CQ25" s="13">
        <v>0.5</v>
      </c>
      <c r="CR25" s="13">
        <v>0.56999999999999995</v>
      </c>
      <c r="CS25" s="13">
        <v>0.5</v>
      </c>
      <c r="CT25" s="13">
        <v>0.59</v>
      </c>
      <c r="CU25" s="13">
        <v>0.5</v>
      </c>
      <c r="CV25" s="13">
        <v>0.42</v>
      </c>
      <c r="CW25" s="16">
        <v>0.51</v>
      </c>
      <c r="CX25" s="13">
        <v>0.5</v>
      </c>
      <c r="CY25" s="13">
        <v>0.56999999999999995</v>
      </c>
      <c r="CZ25" s="13">
        <v>0.5</v>
      </c>
      <c r="DA25" s="13">
        <v>0.59</v>
      </c>
      <c r="DB25" s="13">
        <v>0.5</v>
      </c>
      <c r="DC25" s="13">
        <v>0.42</v>
      </c>
      <c r="DD25" s="16">
        <v>0.52</v>
      </c>
      <c r="DE25" s="13">
        <v>0.5</v>
      </c>
      <c r="DF25" s="13">
        <v>0.59</v>
      </c>
      <c r="DG25" s="13">
        <v>0.5</v>
      </c>
      <c r="DH25" s="13">
        <v>0.59</v>
      </c>
      <c r="DI25" s="13">
        <v>0.5</v>
      </c>
      <c r="DJ25" s="13">
        <v>0.42</v>
      </c>
      <c r="DK25" s="16">
        <v>0.51</v>
      </c>
      <c r="DL25" s="13">
        <v>0.5</v>
      </c>
      <c r="DM25" s="13">
        <v>0.56999999999999995</v>
      </c>
      <c r="DN25" s="13">
        <v>0.5</v>
      </c>
      <c r="DO25" s="13">
        <v>0.59</v>
      </c>
      <c r="DP25" s="13">
        <v>0.5</v>
      </c>
      <c r="DQ25" s="13">
        <v>0.42</v>
      </c>
      <c r="DR25" s="16">
        <v>0.52</v>
      </c>
      <c r="DS25" s="13">
        <v>0.5</v>
      </c>
      <c r="DT25" s="13">
        <v>0.54</v>
      </c>
      <c r="DU25" s="13">
        <v>0.5</v>
      </c>
      <c r="DV25" s="13">
        <v>0.59</v>
      </c>
      <c r="DW25" s="13">
        <v>0.5</v>
      </c>
      <c r="DX25" s="13">
        <v>0.5</v>
      </c>
      <c r="DY25" s="16">
        <v>0.55000000000000004</v>
      </c>
      <c r="DZ25" s="13">
        <v>0.57999999999999996</v>
      </c>
      <c r="EA25" s="13">
        <v>0.55000000000000004</v>
      </c>
      <c r="EB25" s="13">
        <v>0.5</v>
      </c>
      <c r="EC25" s="13">
        <v>0.64</v>
      </c>
      <c r="ED25" s="13">
        <v>0.5</v>
      </c>
      <c r="EE25" s="13">
        <v>0.5</v>
      </c>
      <c r="EF25" s="16">
        <v>0.56999999999999995</v>
      </c>
      <c r="EG25" s="13">
        <v>0.57999999999999996</v>
      </c>
      <c r="EH25" s="13">
        <v>0.64</v>
      </c>
      <c r="EI25" s="13">
        <v>0.5</v>
      </c>
      <c r="EJ25" s="13">
        <v>0.68</v>
      </c>
      <c r="EK25" s="13">
        <v>0.5</v>
      </c>
      <c r="EL25" s="13">
        <v>0.5</v>
      </c>
      <c r="EM25" s="16">
        <v>0.51</v>
      </c>
      <c r="EN25" s="13">
        <v>0.5</v>
      </c>
      <c r="EO25" s="13">
        <v>0.45</v>
      </c>
      <c r="EP25" s="13">
        <v>0.5</v>
      </c>
      <c r="EQ25" s="13">
        <v>0.45</v>
      </c>
      <c r="ER25" s="13">
        <v>0.5</v>
      </c>
      <c r="ES25" s="13">
        <v>0.67</v>
      </c>
      <c r="ET25" s="16">
        <v>0.57999999999999996</v>
      </c>
      <c r="EU25" s="13">
        <v>0.57999999999999996</v>
      </c>
      <c r="EV25" s="13">
        <v>0.52</v>
      </c>
      <c r="EW25" s="13">
        <v>0.5</v>
      </c>
      <c r="EX25" s="13">
        <v>0.73</v>
      </c>
      <c r="EY25" s="13">
        <v>0.5</v>
      </c>
      <c r="EZ25" s="13">
        <v>0.67</v>
      </c>
    </row>
    <row r="26" spans="1:156" ht="14.4" x14ac:dyDescent="0.3">
      <c r="A26" s="3" t="s">
        <v>52</v>
      </c>
      <c r="B26" s="3" t="s">
        <v>103</v>
      </c>
      <c r="C26" s="16">
        <v>0.52</v>
      </c>
      <c r="D26" s="13">
        <v>0.54</v>
      </c>
      <c r="E26" s="13">
        <v>0.71</v>
      </c>
      <c r="F26" s="13">
        <v>0.25</v>
      </c>
      <c r="G26" s="13">
        <v>0.55000000000000004</v>
      </c>
      <c r="H26" s="13">
        <v>0.75</v>
      </c>
      <c r="I26" s="13">
        <v>0.33</v>
      </c>
      <c r="J26" s="16">
        <v>0.52</v>
      </c>
      <c r="K26" s="13">
        <v>0.54</v>
      </c>
      <c r="L26" s="13">
        <v>0.7</v>
      </c>
      <c r="M26" s="13">
        <v>0.25</v>
      </c>
      <c r="N26" s="13">
        <v>0.55000000000000004</v>
      </c>
      <c r="O26" s="13">
        <v>0.75</v>
      </c>
      <c r="P26" s="13">
        <v>0.33</v>
      </c>
      <c r="Q26" s="16">
        <v>0.53</v>
      </c>
      <c r="R26" s="13">
        <v>0.54</v>
      </c>
      <c r="S26" s="13">
        <v>0.7</v>
      </c>
      <c r="T26" s="13">
        <v>0.25</v>
      </c>
      <c r="U26" s="13">
        <v>0.55000000000000004</v>
      </c>
      <c r="V26" s="13">
        <v>0.83</v>
      </c>
      <c r="W26" s="13">
        <v>0.33</v>
      </c>
      <c r="X26" s="16">
        <v>0.54</v>
      </c>
      <c r="Y26" s="13">
        <v>0.63</v>
      </c>
      <c r="Z26" s="13">
        <v>0.67</v>
      </c>
      <c r="AA26" s="13">
        <v>0.25</v>
      </c>
      <c r="AB26" s="13">
        <v>0.55000000000000004</v>
      </c>
      <c r="AC26" s="13">
        <v>0.83</v>
      </c>
      <c r="AD26" s="13">
        <v>0.33</v>
      </c>
      <c r="AE26" s="16">
        <v>0.55000000000000004</v>
      </c>
      <c r="AF26" s="13">
        <v>0.67</v>
      </c>
      <c r="AG26" s="13">
        <v>0.64</v>
      </c>
      <c r="AH26" s="13">
        <v>0.25</v>
      </c>
      <c r="AI26" s="13">
        <v>0.55000000000000004</v>
      </c>
      <c r="AJ26" s="13">
        <v>0.83</v>
      </c>
      <c r="AK26" s="13">
        <v>0.33</v>
      </c>
      <c r="AL26" s="16">
        <v>0.56999999999999995</v>
      </c>
      <c r="AM26" s="13">
        <v>0.67</v>
      </c>
      <c r="AN26" s="13">
        <v>0.68</v>
      </c>
      <c r="AO26" s="13">
        <v>0.25</v>
      </c>
      <c r="AP26" s="13">
        <v>0.64</v>
      </c>
      <c r="AQ26" s="13">
        <v>0.83</v>
      </c>
      <c r="AR26" s="13">
        <v>0.33</v>
      </c>
      <c r="AS26" s="16">
        <v>0.56999999999999995</v>
      </c>
      <c r="AT26" s="13">
        <v>0.67</v>
      </c>
      <c r="AU26" s="13">
        <v>0.69</v>
      </c>
      <c r="AV26" s="13">
        <v>0.25</v>
      </c>
      <c r="AW26" s="13">
        <v>0.64</v>
      </c>
      <c r="AX26" s="13">
        <v>0.83</v>
      </c>
      <c r="AY26" s="13">
        <v>0.33</v>
      </c>
      <c r="AZ26" s="16">
        <v>0.56000000000000005</v>
      </c>
      <c r="BA26" s="13">
        <v>0.67</v>
      </c>
      <c r="BB26" s="13">
        <v>0.66</v>
      </c>
      <c r="BC26" s="13">
        <v>0.25</v>
      </c>
      <c r="BD26" s="13">
        <v>0.64</v>
      </c>
      <c r="BE26" s="13">
        <v>0.83</v>
      </c>
      <c r="BF26" s="13">
        <v>0.33</v>
      </c>
      <c r="BG26" s="16">
        <v>0.56000000000000005</v>
      </c>
      <c r="BH26" s="13">
        <v>0.67</v>
      </c>
      <c r="BI26" s="13">
        <v>0.71</v>
      </c>
      <c r="BJ26" s="13">
        <v>0.25</v>
      </c>
      <c r="BK26" s="13">
        <v>0.59</v>
      </c>
      <c r="BL26" s="13">
        <v>0.83</v>
      </c>
      <c r="BM26" s="13">
        <v>0.33</v>
      </c>
      <c r="BN26" s="16">
        <v>0.56999999999999995</v>
      </c>
      <c r="BO26" s="13">
        <v>0.67</v>
      </c>
      <c r="BP26" s="13">
        <v>0.75</v>
      </c>
      <c r="BQ26" s="13">
        <v>0.25</v>
      </c>
      <c r="BR26" s="13">
        <v>0.59</v>
      </c>
      <c r="BS26" s="13">
        <v>0.83</v>
      </c>
      <c r="BT26" s="13">
        <v>0.33</v>
      </c>
      <c r="BU26" s="16">
        <v>0.59</v>
      </c>
      <c r="BV26" s="13">
        <v>0.67</v>
      </c>
      <c r="BW26" s="13">
        <v>0.76</v>
      </c>
      <c r="BX26" s="13">
        <v>0.25</v>
      </c>
      <c r="BY26" s="13">
        <v>0.59</v>
      </c>
      <c r="BZ26" s="13">
        <v>0.83</v>
      </c>
      <c r="CA26" s="13">
        <v>0.42</v>
      </c>
      <c r="CB26" s="16">
        <v>0.59</v>
      </c>
      <c r="CC26" s="13">
        <v>0.67</v>
      </c>
      <c r="CD26" s="13">
        <v>0.78</v>
      </c>
      <c r="CE26" s="13">
        <v>0.25</v>
      </c>
      <c r="CF26" s="13">
        <v>0.59</v>
      </c>
      <c r="CG26" s="13">
        <v>0.83</v>
      </c>
      <c r="CH26" s="13">
        <v>0.42</v>
      </c>
      <c r="CI26" s="16">
        <v>0.6</v>
      </c>
      <c r="CJ26" s="13">
        <v>0.67</v>
      </c>
      <c r="CK26" s="13">
        <v>0.76</v>
      </c>
      <c r="CL26" s="13">
        <v>0.25</v>
      </c>
      <c r="CM26" s="13">
        <v>0.59</v>
      </c>
      <c r="CN26" s="13">
        <v>0.83</v>
      </c>
      <c r="CO26" s="13">
        <v>0.5</v>
      </c>
      <c r="CP26" s="16">
        <v>0.59</v>
      </c>
      <c r="CQ26" s="13">
        <v>0.67</v>
      </c>
      <c r="CR26" s="13">
        <v>0.78</v>
      </c>
      <c r="CS26" s="13">
        <v>0.25</v>
      </c>
      <c r="CT26" s="13">
        <v>0.5</v>
      </c>
      <c r="CU26" s="13">
        <v>0.83</v>
      </c>
      <c r="CV26" s="13">
        <v>0.5</v>
      </c>
      <c r="CW26" s="16">
        <v>0.6</v>
      </c>
      <c r="CX26" s="13">
        <v>0.67</v>
      </c>
      <c r="CY26" s="13">
        <v>0.76</v>
      </c>
      <c r="CZ26" s="13">
        <v>0.25</v>
      </c>
      <c r="DA26" s="13">
        <v>0.5</v>
      </c>
      <c r="DB26" s="13">
        <v>0.83</v>
      </c>
      <c r="DC26" s="13">
        <v>0.57999999999999996</v>
      </c>
      <c r="DD26" s="16">
        <v>0.56999999999999995</v>
      </c>
      <c r="DE26" s="13">
        <v>0.67</v>
      </c>
      <c r="DF26" s="13">
        <v>0.76</v>
      </c>
      <c r="DG26" s="13">
        <v>0.25</v>
      </c>
      <c r="DH26" s="13">
        <v>0.5</v>
      </c>
      <c r="DI26" s="13">
        <v>0.83</v>
      </c>
      <c r="DJ26" s="13">
        <v>0.42</v>
      </c>
      <c r="DK26" s="16">
        <v>0.56999999999999995</v>
      </c>
      <c r="DL26" s="13">
        <v>0.67</v>
      </c>
      <c r="DM26" s="13">
        <v>0.72</v>
      </c>
      <c r="DN26" s="13">
        <v>0.25</v>
      </c>
      <c r="DO26" s="13">
        <v>0.59</v>
      </c>
      <c r="DP26" s="13">
        <v>0.83</v>
      </c>
      <c r="DQ26" s="13">
        <v>0.33</v>
      </c>
      <c r="DR26" s="16">
        <v>0.56999999999999995</v>
      </c>
      <c r="DS26" s="13">
        <v>0.67</v>
      </c>
      <c r="DT26" s="13">
        <v>0.73</v>
      </c>
      <c r="DU26" s="13">
        <v>0.25</v>
      </c>
      <c r="DV26" s="13">
        <v>0.59</v>
      </c>
      <c r="DW26" s="13">
        <v>0.83</v>
      </c>
      <c r="DX26" s="13">
        <v>0.33</v>
      </c>
      <c r="DY26" s="16">
        <v>0.56999999999999995</v>
      </c>
      <c r="DZ26" s="13">
        <v>0.67</v>
      </c>
      <c r="EA26" s="13">
        <v>0.73</v>
      </c>
      <c r="EB26" s="13">
        <v>0.25</v>
      </c>
      <c r="EC26" s="13">
        <v>0.59</v>
      </c>
      <c r="ED26" s="13">
        <v>0.83</v>
      </c>
      <c r="EE26" s="13">
        <v>0.33</v>
      </c>
      <c r="EF26" s="16">
        <v>0.56999999999999995</v>
      </c>
      <c r="EG26" s="13">
        <v>0.67</v>
      </c>
      <c r="EH26" s="13">
        <v>0.73</v>
      </c>
      <c r="EI26" s="13">
        <v>0.25</v>
      </c>
      <c r="EJ26" s="13">
        <v>0.59</v>
      </c>
      <c r="EK26" s="13">
        <v>0.83</v>
      </c>
      <c r="EL26" s="13">
        <v>0.33</v>
      </c>
      <c r="EM26" s="16">
        <v>0.56999999999999995</v>
      </c>
      <c r="EN26" s="13">
        <v>0.67</v>
      </c>
      <c r="EO26" s="13">
        <v>0.71</v>
      </c>
      <c r="EP26" s="13">
        <v>0.25</v>
      </c>
      <c r="EQ26" s="13">
        <v>0.64</v>
      </c>
      <c r="ER26" s="13">
        <v>0.83</v>
      </c>
      <c r="ES26" s="13">
        <v>0.33</v>
      </c>
      <c r="ET26" s="16">
        <v>0.59</v>
      </c>
      <c r="EU26" s="13">
        <v>0.67</v>
      </c>
      <c r="EV26" s="13">
        <v>0.8</v>
      </c>
      <c r="EW26" s="13">
        <v>0.25</v>
      </c>
      <c r="EX26" s="13">
        <v>0.64</v>
      </c>
      <c r="EY26" s="13">
        <v>0.83</v>
      </c>
      <c r="EZ26" s="13">
        <v>0.33</v>
      </c>
    </row>
    <row r="27" spans="1:156" ht="14.4" x14ac:dyDescent="0.3">
      <c r="A27" s="3" t="s">
        <v>54</v>
      </c>
      <c r="B27" s="3" t="s">
        <v>53</v>
      </c>
      <c r="C27" s="16">
        <v>0.61</v>
      </c>
      <c r="D27" s="13">
        <v>0.67</v>
      </c>
      <c r="E27" s="13">
        <v>0.67</v>
      </c>
      <c r="F27" s="13">
        <v>0.63</v>
      </c>
      <c r="G27" s="13">
        <v>0.55000000000000004</v>
      </c>
      <c r="H27" s="13">
        <v>0.75</v>
      </c>
      <c r="I27" s="13">
        <v>0.42</v>
      </c>
      <c r="J27" s="16">
        <v>0.66</v>
      </c>
      <c r="K27" s="13">
        <v>0.71</v>
      </c>
      <c r="L27" s="13">
        <v>0.69</v>
      </c>
      <c r="M27" s="13">
        <v>0.63</v>
      </c>
      <c r="N27" s="13">
        <v>0.59</v>
      </c>
      <c r="O27" s="13">
        <v>0.83</v>
      </c>
      <c r="P27" s="13">
        <v>0.5</v>
      </c>
      <c r="Q27" s="16">
        <v>0.66</v>
      </c>
      <c r="R27" s="13">
        <v>0.71</v>
      </c>
      <c r="S27" s="13">
        <v>0.72</v>
      </c>
      <c r="T27" s="13">
        <v>0.63</v>
      </c>
      <c r="U27" s="13">
        <v>0.59</v>
      </c>
      <c r="V27" s="13">
        <v>0.83</v>
      </c>
      <c r="W27" s="13">
        <v>0.5</v>
      </c>
      <c r="X27" s="16">
        <v>0.59</v>
      </c>
      <c r="Y27" s="13">
        <v>0.67</v>
      </c>
      <c r="Z27" s="13">
        <v>0.67</v>
      </c>
      <c r="AA27" s="13">
        <v>0.5</v>
      </c>
      <c r="AB27" s="13">
        <v>0.45</v>
      </c>
      <c r="AC27" s="13">
        <v>0.83</v>
      </c>
      <c r="AD27" s="13">
        <v>0.42</v>
      </c>
      <c r="AE27" s="16">
        <v>0.62</v>
      </c>
      <c r="AF27" s="13">
        <v>0.71</v>
      </c>
      <c r="AG27" s="13">
        <v>0.7</v>
      </c>
      <c r="AH27" s="13">
        <v>0.5</v>
      </c>
      <c r="AI27" s="13">
        <v>0.59</v>
      </c>
      <c r="AJ27" s="13">
        <v>0.83</v>
      </c>
      <c r="AK27" s="13">
        <v>0.42</v>
      </c>
      <c r="AL27" s="16">
        <v>0.61</v>
      </c>
      <c r="AM27" s="13">
        <v>0.71</v>
      </c>
      <c r="AN27" s="13">
        <v>0.69</v>
      </c>
      <c r="AO27" s="13">
        <v>0.5</v>
      </c>
      <c r="AP27" s="13">
        <v>0.5</v>
      </c>
      <c r="AQ27" s="13">
        <v>0.83</v>
      </c>
      <c r="AR27" s="13">
        <v>0.42</v>
      </c>
      <c r="AS27" s="16">
        <v>0.62</v>
      </c>
      <c r="AT27" s="13">
        <v>0.71</v>
      </c>
      <c r="AU27" s="13">
        <v>0.65</v>
      </c>
      <c r="AV27" s="13">
        <v>0.5</v>
      </c>
      <c r="AW27" s="13">
        <v>0.64</v>
      </c>
      <c r="AX27" s="13">
        <v>0.83</v>
      </c>
      <c r="AY27" s="13">
        <v>0.42</v>
      </c>
      <c r="AZ27" s="16">
        <v>0.62</v>
      </c>
      <c r="BA27" s="13">
        <v>0.71</v>
      </c>
      <c r="BB27" s="13">
        <v>0.67</v>
      </c>
      <c r="BC27" s="13">
        <v>0.5</v>
      </c>
      <c r="BD27" s="13">
        <v>0.59</v>
      </c>
      <c r="BE27" s="13">
        <v>0.83</v>
      </c>
      <c r="BF27" s="13">
        <v>0.42</v>
      </c>
      <c r="BG27" s="16">
        <v>0.56999999999999995</v>
      </c>
      <c r="BH27" s="13">
        <v>0.54</v>
      </c>
      <c r="BI27" s="13">
        <v>0.67</v>
      </c>
      <c r="BJ27" s="13">
        <v>0.5</v>
      </c>
      <c r="BK27" s="13">
        <v>0.45</v>
      </c>
      <c r="BL27" s="13">
        <v>0.83</v>
      </c>
      <c r="BM27" s="13">
        <v>0.42</v>
      </c>
      <c r="BN27" s="16">
        <v>0.57999999999999996</v>
      </c>
      <c r="BO27" s="13">
        <v>0.5</v>
      </c>
      <c r="BP27" s="13">
        <v>0.71</v>
      </c>
      <c r="BQ27" s="13">
        <v>0.5</v>
      </c>
      <c r="BR27" s="13">
        <v>0.5</v>
      </c>
      <c r="BS27" s="13">
        <v>0.83</v>
      </c>
      <c r="BT27" s="13">
        <v>0.42</v>
      </c>
      <c r="BU27" s="16">
        <v>0.62</v>
      </c>
      <c r="BV27" s="13">
        <v>0.5</v>
      </c>
      <c r="BW27" s="13">
        <v>0.8</v>
      </c>
      <c r="BX27" s="13">
        <v>0.5</v>
      </c>
      <c r="BY27" s="13">
        <v>0.59</v>
      </c>
      <c r="BZ27" s="13">
        <v>0.83</v>
      </c>
      <c r="CA27" s="13">
        <v>0.5</v>
      </c>
      <c r="CB27" s="16">
        <v>0.65</v>
      </c>
      <c r="CC27" s="13">
        <v>0.5</v>
      </c>
      <c r="CD27" s="13">
        <v>0.86</v>
      </c>
      <c r="CE27" s="13">
        <v>0.5</v>
      </c>
      <c r="CF27" s="13">
        <v>0.68</v>
      </c>
      <c r="CG27" s="13">
        <v>0.83</v>
      </c>
      <c r="CH27" s="13">
        <v>0.5</v>
      </c>
      <c r="CI27" s="16">
        <v>0.62</v>
      </c>
      <c r="CJ27" s="13">
        <v>0.5</v>
      </c>
      <c r="CK27" s="13">
        <v>0.88</v>
      </c>
      <c r="CL27" s="13">
        <v>0.5</v>
      </c>
      <c r="CM27" s="13">
        <v>0.68</v>
      </c>
      <c r="CN27" s="13">
        <v>0.83</v>
      </c>
      <c r="CO27" s="13">
        <v>0.33</v>
      </c>
      <c r="CP27" s="16">
        <v>0.62</v>
      </c>
      <c r="CQ27" s="13">
        <v>0.5</v>
      </c>
      <c r="CR27" s="13">
        <v>0.88</v>
      </c>
      <c r="CS27" s="13">
        <v>0.5</v>
      </c>
      <c r="CT27" s="13">
        <v>0.68</v>
      </c>
      <c r="CU27" s="13">
        <v>0.83</v>
      </c>
      <c r="CV27" s="13">
        <v>0.33</v>
      </c>
      <c r="CW27" s="16">
        <v>0.62</v>
      </c>
      <c r="CX27" s="13">
        <v>0.5</v>
      </c>
      <c r="CY27" s="13">
        <v>0.88</v>
      </c>
      <c r="CZ27" s="13">
        <v>0.5</v>
      </c>
      <c r="DA27" s="13">
        <v>0.68</v>
      </c>
      <c r="DB27" s="13">
        <v>0.83</v>
      </c>
      <c r="DC27" s="13">
        <v>0.33</v>
      </c>
      <c r="DD27" s="16">
        <v>0.62</v>
      </c>
      <c r="DE27" s="13">
        <v>0.5</v>
      </c>
      <c r="DF27" s="13">
        <v>0.88</v>
      </c>
      <c r="DG27" s="13">
        <v>0.5</v>
      </c>
      <c r="DH27" s="13">
        <v>0.68</v>
      </c>
      <c r="DI27" s="13">
        <v>0.83</v>
      </c>
      <c r="DJ27" s="13">
        <v>0.33</v>
      </c>
      <c r="DK27" s="16">
        <v>0.62</v>
      </c>
      <c r="DL27" s="13">
        <v>0.5</v>
      </c>
      <c r="DM27" s="13">
        <v>0.89</v>
      </c>
      <c r="DN27" s="13">
        <v>0.5</v>
      </c>
      <c r="DO27" s="13">
        <v>0.64</v>
      </c>
      <c r="DP27" s="13">
        <v>0.83</v>
      </c>
      <c r="DQ27" s="13">
        <v>0.33</v>
      </c>
      <c r="DR27" s="16">
        <v>0.63</v>
      </c>
      <c r="DS27" s="13">
        <v>0.5</v>
      </c>
      <c r="DT27" s="13">
        <v>0.9</v>
      </c>
      <c r="DU27" s="13">
        <v>0.5</v>
      </c>
      <c r="DV27" s="13">
        <v>0.73</v>
      </c>
      <c r="DW27" s="13">
        <v>0.83</v>
      </c>
      <c r="DX27" s="13">
        <v>0.33</v>
      </c>
      <c r="DY27" s="16">
        <v>0.63</v>
      </c>
      <c r="DZ27" s="13">
        <v>0.5</v>
      </c>
      <c r="EA27" s="13">
        <v>0.89</v>
      </c>
      <c r="EB27" s="13">
        <v>0.5</v>
      </c>
      <c r="EC27" s="13">
        <v>0.73</v>
      </c>
      <c r="ED27" s="13">
        <v>0.83</v>
      </c>
      <c r="EE27" s="13">
        <v>0.33</v>
      </c>
      <c r="EF27" s="16">
        <v>0.61</v>
      </c>
      <c r="EG27" s="13">
        <v>0.5</v>
      </c>
      <c r="EH27" s="13">
        <v>0.88</v>
      </c>
      <c r="EI27" s="13">
        <v>0.5</v>
      </c>
      <c r="EJ27" s="13">
        <v>0.64</v>
      </c>
      <c r="EK27" s="13">
        <v>0.83</v>
      </c>
      <c r="EL27" s="13">
        <v>0.33</v>
      </c>
      <c r="EM27" s="16">
        <v>0.67</v>
      </c>
      <c r="EN27" s="13">
        <v>0.5</v>
      </c>
      <c r="EO27" s="13">
        <v>0.89</v>
      </c>
      <c r="EP27" s="13">
        <v>0.5</v>
      </c>
      <c r="EQ27" s="13">
        <v>0.82</v>
      </c>
      <c r="ER27" s="13">
        <v>0.83</v>
      </c>
      <c r="ES27" s="13">
        <v>0.5</v>
      </c>
      <c r="ET27" s="16">
        <v>0.66</v>
      </c>
      <c r="EU27" s="13">
        <v>0.42</v>
      </c>
      <c r="EV27" s="13">
        <v>0.87</v>
      </c>
      <c r="EW27" s="13">
        <v>0.5</v>
      </c>
      <c r="EX27" s="13">
        <v>0.82</v>
      </c>
      <c r="EY27" s="13">
        <v>0.83</v>
      </c>
      <c r="EZ27" s="13">
        <v>0.5</v>
      </c>
    </row>
    <row r="28" spans="1:156" ht="14.4" x14ac:dyDescent="0.3">
      <c r="A28" s="3" t="s">
        <v>56</v>
      </c>
      <c r="B28" s="3" t="s">
        <v>55</v>
      </c>
      <c r="C28" s="16">
        <v>0.56000000000000005</v>
      </c>
      <c r="D28" s="13">
        <v>0.38</v>
      </c>
      <c r="E28" s="13">
        <v>0.73</v>
      </c>
      <c r="F28" s="13">
        <v>0.5</v>
      </c>
      <c r="G28" s="13">
        <v>0.68</v>
      </c>
      <c r="H28" s="13">
        <v>0.67</v>
      </c>
      <c r="I28" s="13">
        <v>0.42</v>
      </c>
      <c r="J28" s="16">
        <v>0.56999999999999995</v>
      </c>
      <c r="K28" s="13">
        <v>0.38</v>
      </c>
      <c r="L28" s="13">
        <v>0.76</v>
      </c>
      <c r="M28" s="13">
        <v>0.5</v>
      </c>
      <c r="N28" s="13">
        <v>0.73</v>
      </c>
      <c r="O28" s="13">
        <v>0.67</v>
      </c>
      <c r="P28" s="13">
        <v>0.42</v>
      </c>
      <c r="Q28" s="16">
        <v>0.56999999999999995</v>
      </c>
      <c r="R28" s="13">
        <v>0.38</v>
      </c>
      <c r="S28" s="13">
        <v>0.76</v>
      </c>
      <c r="T28" s="13">
        <v>0.5</v>
      </c>
      <c r="U28" s="13">
        <v>0.68</v>
      </c>
      <c r="V28" s="13">
        <v>0.67</v>
      </c>
      <c r="W28" s="13">
        <v>0.42</v>
      </c>
      <c r="X28" s="16">
        <v>0.56000000000000005</v>
      </c>
      <c r="Y28" s="13">
        <v>0.38</v>
      </c>
      <c r="Z28" s="13">
        <v>0.74</v>
      </c>
      <c r="AA28" s="13">
        <v>0.5</v>
      </c>
      <c r="AB28" s="13">
        <v>0.68</v>
      </c>
      <c r="AC28" s="13">
        <v>0.67</v>
      </c>
      <c r="AD28" s="13">
        <v>0.42</v>
      </c>
      <c r="AE28" s="16">
        <v>0.54</v>
      </c>
      <c r="AF28" s="13">
        <v>0.38</v>
      </c>
      <c r="AG28" s="13">
        <v>0.74</v>
      </c>
      <c r="AH28" s="13">
        <v>0.5</v>
      </c>
      <c r="AI28" s="13">
        <v>0.64</v>
      </c>
      <c r="AJ28" s="13">
        <v>0.67</v>
      </c>
      <c r="AK28" s="13">
        <v>0.33</v>
      </c>
      <c r="AL28" s="16">
        <v>0.56000000000000005</v>
      </c>
      <c r="AM28" s="13">
        <v>0.38</v>
      </c>
      <c r="AN28" s="13">
        <v>0.76</v>
      </c>
      <c r="AO28" s="13">
        <v>0.5</v>
      </c>
      <c r="AP28" s="13">
        <v>0.64</v>
      </c>
      <c r="AQ28" s="13">
        <v>0.67</v>
      </c>
      <c r="AR28" s="13">
        <v>0.42</v>
      </c>
      <c r="AS28" s="16">
        <v>0.56000000000000005</v>
      </c>
      <c r="AT28" s="13">
        <v>0.38</v>
      </c>
      <c r="AU28" s="13">
        <v>0.79</v>
      </c>
      <c r="AV28" s="13">
        <v>0.5</v>
      </c>
      <c r="AW28" s="13">
        <v>0.64</v>
      </c>
      <c r="AX28" s="13">
        <v>0.67</v>
      </c>
      <c r="AY28" s="13">
        <v>0.42</v>
      </c>
      <c r="AZ28" s="16">
        <v>0.56000000000000005</v>
      </c>
      <c r="BA28" s="13">
        <v>0.38</v>
      </c>
      <c r="BB28" s="13">
        <v>0.78</v>
      </c>
      <c r="BC28" s="13">
        <v>0.5</v>
      </c>
      <c r="BD28" s="13">
        <v>0.64</v>
      </c>
      <c r="BE28" s="13">
        <v>0.67</v>
      </c>
      <c r="BF28" s="13">
        <v>0.42</v>
      </c>
      <c r="BG28" s="16">
        <v>0.54</v>
      </c>
      <c r="BH28" s="13">
        <v>0.38</v>
      </c>
      <c r="BI28" s="13">
        <v>0.76</v>
      </c>
      <c r="BJ28" s="13">
        <v>0.5</v>
      </c>
      <c r="BK28" s="13">
        <v>0.55000000000000004</v>
      </c>
      <c r="BL28" s="13">
        <v>0.67</v>
      </c>
      <c r="BM28" s="13">
        <v>0.42</v>
      </c>
      <c r="BN28" s="16">
        <v>0.55000000000000004</v>
      </c>
      <c r="BO28" s="13">
        <v>0.38</v>
      </c>
      <c r="BP28" s="13">
        <v>0.78</v>
      </c>
      <c r="BQ28" s="13">
        <v>0.5</v>
      </c>
      <c r="BR28" s="13">
        <v>0.55000000000000004</v>
      </c>
      <c r="BS28" s="13">
        <v>0.67</v>
      </c>
      <c r="BT28" s="13">
        <v>0.42</v>
      </c>
      <c r="BU28" s="16">
        <v>0.55000000000000004</v>
      </c>
      <c r="BV28" s="13">
        <v>0.38</v>
      </c>
      <c r="BW28" s="13">
        <v>0.79</v>
      </c>
      <c r="BX28" s="13">
        <v>0.5</v>
      </c>
      <c r="BY28" s="13">
        <v>0.55000000000000004</v>
      </c>
      <c r="BZ28" s="13">
        <v>0.67</v>
      </c>
      <c r="CA28" s="13">
        <v>0.42</v>
      </c>
      <c r="CB28" s="16">
        <v>0.56999999999999995</v>
      </c>
      <c r="CC28" s="13">
        <v>0.38</v>
      </c>
      <c r="CD28" s="13">
        <v>0.84</v>
      </c>
      <c r="CE28" s="13">
        <v>0.5</v>
      </c>
      <c r="CF28" s="13">
        <v>0.64</v>
      </c>
      <c r="CG28" s="13">
        <v>0.67</v>
      </c>
      <c r="CH28" s="13">
        <v>0.42</v>
      </c>
      <c r="CI28" s="16">
        <v>0.59</v>
      </c>
      <c r="CJ28" s="13">
        <v>0.33</v>
      </c>
      <c r="CK28" s="13">
        <v>0.85</v>
      </c>
      <c r="CL28" s="13">
        <v>0.5</v>
      </c>
      <c r="CM28" s="13">
        <v>0.64</v>
      </c>
      <c r="CN28" s="13">
        <v>0.67</v>
      </c>
      <c r="CO28" s="13">
        <v>0.57999999999999996</v>
      </c>
      <c r="CP28" s="16">
        <v>0.59</v>
      </c>
      <c r="CQ28" s="13">
        <v>0.33</v>
      </c>
      <c r="CR28" s="13">
        <v>0.85</v>
      </c>
      <c r="CS28" s="13">
        <v>0.5</v>
      </c>
      <c r="CT28" s="13">
        <v>0.64</v>
      </c>
      <c r="CU28" s="13">
        <v>0.67</v>
      </c>
      <c r="CV28" s="13">
        <v>0.57999999999999996</v>
      </c>
      <c r="CW28" s="16">
        <v>0.61</v>
      </c>
      <c r="CX28" s="13">
        <v>0.33</v>
      </c>
      <c r="CY28" s="13">
        <v>0.86</v>
      </c>
      <c r="CZ28" s="13">
        <v>0.5</v>
      </c>
      <c r="DA28" s="13">
        <v>0.73</v>
      </c>
      <c r="DB28" s="13">
        <v>0.67</v>
      </c>
      <c r="DC28" s="13">
        <v>0.57999999999999996</v>
      </c>
      <c r="DD28" s="16">
        <v>0.57999999999999996</v>
      </c>
      <c r="DE28" s="13">
        <v>0.33</v>
      </c>
      <c r="DF28" s="13">
        <v>0.86</v>
      </c>
      <c r="DG28" s="13">
        <v>0.5</v>
      </c>
      <c r="DH28" s="13">
        <v>0.73</v>
      </c>
      <c r="DI28" s="13">
        <v>0.67</v>
      </c>
      <c r="DJ28" s="13">
        <v>0.42</v>
      </c>
      <c r="DK28" s="16">
        <v>0.55000000000000004</v>
      </c>
      <c r="DL28" s="13">
        <v>0.33</v>
      </c>
      <c r="DM28" s="13">
        <v>0.86</v>
      </c>
      <c r="DN28" s="13">
        <v>0.5</v>
      </c>
      <c r="DO28" s="13">
        <v>0.68</v>
      </c>
      <c r="DP28" s="13">
        <v>0.67</v>
      </c>
      <c r="DQ28" s="13">
        <v>0.25</v>
      </c>
      <c r="DR28" s="16">
        <v>0.55000000000000004</v>
      </c>
      <c r="DS28" s="13">
        <v>0.33</v>
      </c>
      <c r="DT28" s="13">
        <v>0.86</v>
      </c>
      <c r="DU28" s="13">
        <v>0.5</v>
      </c>
      <c r="DV28" s="13">
        <v>0.68</v>
      </c>
      <c r="DW28" s="13">
        <v>0.67</v>
      </c>
      <c r="DX28" s="13">
        <v>0.25</v>
      </c>
      <c r="DY28" s="16">
        <v>0.52</v>
      </c>
      <c r="DZ28" s="13">
        <v>0.25</v>
      </c>
      <c r="EA28" s="13">
        <v>0.88</v>
      </c>
      <c r="EB28" s="13">
        <v>0.5</v>
      </c>
      <c r="EC28" s="13">
        <v>0.55000000000000004</v>
      </c>
      <c r="ED28" s="13">
        <v>0.67</v>
      </c>
      <c r="EE28" s="13">
        <v>0.25</v>
      </c>
      <c r="EF28" s="16">
        <v>0.52</v>
      </c>
      <c r="EG28" s="13">
        <v>0.25</v>
      </c>
      <c r="EH28" s="13">
        <v>0.88</v>
      </c>
      <c r="EI28" s="13">
        <v>0.5</v>
      </c>
      <c r="EJ28" s="13">
        <v>0.59</v>
      </c>
      <c r="EK28" s="13">
        <v>0.67</v>
      </c>
      <c r="EL28" s="13">
        <v>0.25</v>
      </c>
      <c r="EM28" s="16">
        <v>0.56000000000000005</v>
      </c>
      <c r="EN28" s="13">
        <v>0.25</v>
      </c>
      <c r="EO28" s="13">
        <v>0.91</v>
      </c>
      <c r="EP28" s="13">
        <v>0.5</v>
      </c>
      <c r="EQ28" s="13">
        <v>0.55000000000000004</v>
      </c>
      <c r="ER28" s="13">
        <v>0.83</v>
      </c>
      <c r="ES28" s="13">
        <v>0.33</v>
      </c>
      <c r="ET28" s="16">
        <v>0.51</v>
      </c>
      <c r="EU28" s="13">
        <v>0.17</v>
      </c>
      <c r="EV28" s="13">
        <v>0.87</v>
      </c>
      <c r="EW28" s="13">
        <v>0.5</v>
      </c>
      <c r="EX28" s="13">
        <v>0.36</v>
      </c>
      <c r="EY28" s="13">
        <v>0.83</v>
      </c>
      <c r="EZ28" s="13">
        <v>0.33</v>
      </c>
    </row>
    <row r="29" spans="1:156" ht="14.4" x14ac:dyDescent="0.3">
      <c r="A29" s="3" t="s">
        <v>58</v>
      </c>
      <c r="B29" s="3" t="s">
        <v>57</v>
      </c>
      <c r="C29" s="16">
        <v>0.56000000000000005</v>
      </c>
      <c r="D29" s="13">
        <v>0.79</v>
      </c>
      <c r="E29" s="13">
        <v>0.73</v>
      </c>
      <c r="F29" s="13">
        <v>0.25</v>
      </c>
      <c r="G29" s="13">
        <v>0.59</v>
      </c>
      <c r="H29" s="13">
        <v>0.67</v>
      </c>
      <c r="I29" s="13">
        <v>0.33</v>
      </c>
      <c r="J29" s="16">
        <v>0.53</v>
      </c>
      <c r="K29" s="13">
        <v>0.75</v>
      </c>
      <c r="L29" s="13">
        <v>0.71</v>
      </c>
      <c r="M29" s="13">
        <v>0.25</v>
      </c>
      <c r="N29" s="13">
        <v>0.45</v>
      </c>
      <c r="O29" s="13">
        <v>0.67</v>
      </c>
      <c r="P29" s="13">
        <v>0.33</v>
      </c>
      <c r="Q29" s="16">
        <v>0.54</v>
      </c>
      <c r="R29" s="13">
        <v>0.75</v>
      </c>
      <c r="S29" s="13">
        <v>0.71</v>
      </c>
      <c r="T29" s="13">
        <v>0.25</v>
      </c>
      <c r="U29" s="13">
        <v>0.45</v>
      </c>
      <c r="V29" s="13">
        <v>0.67</v>
      </c>
      <c r="W29" s="13">
        <v>0.42</v>
      </c>
      <c r="X29" s="16">
        <v>0.54</v>
      </c>
      <c r="Y29" s="13">
        <v>0.75</v>
      </c>
      <c r="Z29" s="13">
        <v>0.72</v>
      </c>
      <c r="AA29" s="13">
        <v>0.25</v>
      </c>
      <c r="AB29" s="13">
        <v>0.5</v>
      </c>
      <c r="AC29" s="13">
        <v>0.67</v>
      </c>
      <c r="AD29" s="13">
        <v>0.33</v>
      </c>
      <c r="AE29" s="16">
        <v>0.55000000000000004</v>
      </c>
      <c r="AF29" s="13">
        <v>0.75</v>
      </c>
      <c r="AG29" s="13">
        <v>0.74</v>
      </c>
      <c r="AH29" s="13">
        <v>0.25</v>
      </c>
      <c r="AI29" s="13">
        <v>0.55000000000000004</v>
      </c>
      <c r="AJ29" s="13">
        <v>0.67</v>
      </c>
      <c r="AK29" s="13">
        <v>0.33</v>
      </c>
      <c r="AL29" s="16">
        <v>0.56999999999999995</v>
      </c>
      <c r="AM29" s="13">
        <v>0.75</v>
      </c>
      <c r="AN29" s="13">
        <v>0.77</v>
      </c>
      <c r="AO29" s="13">
        <v>0.25</v>
      </c>
      <c r="AP29" s="13">
        <v>0.55000000000000004</v>
      </c>
      <c r="AQ29" s="13">
        <v>0.67</v>
      </c>
      <c r="AR29" s="13">
        <v>0.42</v>
      </c>
      <c r="AS29" s="16">
        <v>0.56000000000000005</v>
      </c>
      <c r="AT29" s="13">
        <v>0.75</v>
      </c>
      <c r="AU29" s="13">
        <v>0.73</v>
      </c>
      <c r="AV29" s="13">
        <v>0.25</v>
      </c>
      <c r="AW29" s="13">
        <v>0.55000000000000004</v>
      </c>
      <c r="AX29" s="13">
        <v>0.67</v>
      </c>
      <c r="AY29" s="13">
        <v>0.42</v>
      </c>
      <c r="AZ29" s="16">
        <v>0.55000000000000004</v>
      </c>
      <c r="BA29" s="13">
        <v>0.75</v>
      </c>
      <c r="BB29" s="13">
        <v>0.71</v>
      </c>
      <c r="BC29" s="13">
        <v>0.25</v>
      </c>
      <c r="BD29" s="13">
        <v>0.5</v>
      </c>
      <c r="BE29" s="13">
        <v>0.67</v>
      </c>
      <c r="BF29" s="13">
        <v>0.42</v>
      </c>
      <c r="BG29" s="16">
        <v>0.55000000000000004</v>
      </c>
      <c r="BH29" s="13">
        <v>0.75</v>
      </c>
      <c r="BI29" s="13">
        <v>0.71</v>
      </c>
      <c r="BJ29" s="13">
        <v>0.25</v>
      </c>
      <c r="BK29" s="13">
        <v>0.5</v>
      </c>
      <c r="BL29" s="13">
        <v>0.67</v>
      </c>
      <c r="BM29" s="13">
        <v>0.42</v>
      </c>
      <c r="BN29" s="16">
        <v>0.55000000000000004</v>
      </c>
      <c r="BO29" s="13">
        <v>0.75</v>
      </c>
      <c r="BP29" s="13">
        <v>0.79</v>
      </c>
      <c r="BQ29" s="13">
        <v>0.25</v>
      </c>
      <c r="BR29" s="13">
        <v>0.45</v>
      </c>
      <c r="BS29" s="13">
        <v>0.67</v>
      </c>
      <c r="BT29" s="13">
        <v>0.42</v>
      </c>
      <c r="BU29" s="16">
        <v>0.56000000000000005</v>
      </c>
      <c r="BV29" s="13">
        <v>0.75</v>
      </c>
      <c r="BW29" s="13">
        <v>0.77</v>
      </c>
      <c r="BX29" s="13">
        <v>0.25</v>
      </c>
      <c r="BY29" s="13">
        <v>0.45</v>
      </c>
      <c r="BZ29" s="13">
        <v>0.67</v>
      </c>
      <c r="CA29" s="13">
        <v>0.5</v>
      </c>
      <c r="CB29" s="16">
        <v>0.56999999999999995</v>
      </c>
      <c r="CC29" s="13">
        <v>0.75</v>
      </c>
      <c r="CD29" s="13">
        <v>0.78</v>
      </c>
      <c r="CE29" s="13">
        <v>0.25</v>
      </c>
      <c r="CF29" s="13">
        <v>0.45</v>
      </c>
      <c r="CG29" s="13">
        <v>0.67</v>
      </c>
      <c r="CH29" s="13">
        <v>0.5</v>
      </c>
      <c r="CI29" s="16">
        <v>0.56999999999999995</v>
      </c>
      <c r="CJ29" s="13">
        <v>0.75</v>
      </c>
      <c r="CK29" s="13">
        <v>0.78</v>
      </c>
      <c r="CL29" s="13">
        <v>0.25</v>
      </c>
      <c r="CM29" s="13">
        <v>0.45</v>
      </c>
      <c r="CN29" s="13">
        <v>0.67</v>
      </c>
      <c r="CO29" s="13">
        <v>0.5</v>
      </c>
      <c r="CP29" s="16">
        <v>0.56999999999999995</v>
      </c>
      <c r="CQ29" s="13">
        <v>0.75</v>
      </c>
      <c r="CR29" s="13">
        <v>0.79</v>
      </c>
      <c r="CS29" s="13">
        <v>0.25</v>
      </c>
      <c r="CT29" s="13">
        <v>0.45</v>
      </c>
      <c r="CU29" s="13">
        <v>0.67</v>
      </c>
      <c r="CV29" s="13">
        <v>0.5</v>
      </c>
      <c r="CW29" s="16">
        <v>0.57999999999999996</v>
      </c>
      <c r="CX29" s="13">
        <v>0.75</v>
      </c>
      <c r="CY29" s="13">
        <v>0.78</v>
      </c>
      <c r="CZ29" s="13">
        <v>0.25</v>
      </c>
      <c r="DA29" s="13">
        <v>0.45</v>
      </c>
      <c r="DB29" s="13">
        <v>0.67</v>
      </c>
      <c r="DC29" s="13">
        <v>0.57999999999999996</v>
      </c>
      <c r="DD29" s="16">
        <v>0.56999999999999995</v>
      </c>
      <c r="DE29" s="13">
        <v>0.75</v>
      </c>
      <c r="DF29" s="13">
        <v>0.77</v>
      </c>
      <c r="DG29" s="13">
        <v>0.25</v>
      </c>
      <c r="DH29" s="13">
        <v>0.5</v>
      </c>
      <c r="DI29" s="13">
        <v>0.67</v>
      </c>
      <c r="DJ29" s="13">
        <v>0.5</v>
      </c>
      <c r="DK29" s="16">
        <v>0.59</v>
      </c>
      <c r="DL29" s="13">
        <v>0.79</v>
      </c>
      <c r="DM29" s="13">
        <v>0.78</v>
      </c>
      <c r="DN29" s="13">
        <v>0.25</v>
      </c>
      <c r="DO29" s="13">
        <v>0.55000000000000004</v>
      </c>
      <c r="DP29" s="13">
        <v>0.67</v>
      </c>
      <c r="DQ29" s="13">
        <v>0.5</v>
      </c>
      <c r="DR29" s="16">
        <v>0.56999999999999995</v>
      </c>
      <c r="DS29" s="13">
        <v>0.79</v>
      </c>
      <c r="DT29" s="13">
        <v>0.78</v>
      </c>
      <c r="DU29" s="13">
        <v>0.25</v>
      </c>
      <c r="DV29" s="13">
        <v>0.45</v>
      </c>
      <c r="DW29" s="13">
        <v>0.67</v>
      </c>
      <c r="DX29" s="13">
        <v>0.5</v>
      </c>
      <c r="DY29" s="16">
        <v>0.52</v>
      </c>
      <c r="DZ29" s="13">
        <v>0.75</v>
      </c>
      <c r="EA29" s="13">
        <v>0.69</v>
      </c>
      <c r="EB29" s="13">
        <v>0.25</v>
      </c>
      <c r="EC29" s="13">
        <v>0.45</v>
      </c>
      <c r="ED29" s="13">
        <v>0.67</v>
      </c>
      <c r="EE29" s="13">
        <v>0.33</v>
      </c>
      <c r="EF29" s="16">
        <v>0.51</v>
      </c>
      <c r="EG29" s="13">
        <v>0.75</v>
      </c>
      <c r="EH29" s="13">
        <v>0.61</v>
      </c>
      <c r="EI29" s="13">
        <v>0.25</v>
      </c>
      <c r="EJ29" s="13">
        <v>0.45</v>
      </c>
      <c r="EK29" s="13">
        <v>0.67</v>
      </c>
      <c r="EL29" s="13">
        <v>0.33</v>
      </c>
      <c r="EM29" s="16">
        <v>0.6</v>
      </c>
      <c r="EN29" s="13">
        <v>0.75</v>
      </c>
      <c r="EO29" s="13">
        <v>0.78</v>
      </c>
      <c r="EP29" s="13">
        <v>0.25</v>
      </c>
      <c r="EQ29" s="13">
        <v>0.82</v>
      </c>
      <c r="ER29" s="13">
        <v>0.67</v>
      </c>
      <c r="ES29" s="13">
        <v>0.33</v>
      </c>
      <c r="ET29" s="16">
        <v>0.65</v>
      </c>
      <c r="EU29" s="13">
        <v>0.75</v>
      </c>
      <c r="EV29" s="13">
        <v>0.89</v>
      </c>
      <c r="EW29" s="13">
        <v>0.25</v>
      </c>
      <c r="EX29" s="13">
        <v>0.82</v>
      </c>
      <c r="EY29" s="13">
        <v>0.67</v>
      </c>
      <c r="EZ29" s="13">
        <v>0.5</v>
      </c>
    </row>
    <row r="37" spans="5:6" ht="14.4" x14ac:dyDescent="0.3">
      <c r="E37" s="3" t="s">
        <v>113</v>
      </c>
      <c r="F37" s="3" t="s">
        <v>268</v>
      </c>
    </row>
    <row r="38" spans="5:6" ht="14.4" x14ac:dyDescent="0.3">
      <c r="E38" s="29" t="s">
        <v>269</v>
      </c>
      <c r="F38" s="27"/>
    </row>
    <row r="39" spans="5:6" ht="14.4" x14ac:dyDescent="0.3">
      <c r="E39" s="3"/>
      <c r="F39" s="3"/>
    </row>
    <row r="40" spans="5:6" ht="14.4" x14ac:dyDescent="0.3">
      <c r="E40" s="3" t="s">
        <v>270</v>
      </c>
      <c r="F40" s="14" t="s">
        <v>104</v>
      </c>
    </row>
    <row r="41" spans="5:6" ht="14.4" x14ac:dyDescent="0.3">
      <c r="E41" s="3"/>
      <c r="F41" s="14"/>
    </row>
    <row r="42" spans="5:6" ht="14.4" x14ac:dyDescent="0.3">
      <c r="E42" s="3" t="s">
        <v>271</v>
      </c>
      <c r="F42" s="14" t="s">
        <v>105</v>
      </c>
    </row>
    <row r="43" spans="5:6" ht="14.4" x14ac:dyDescent="0.3">
      <c r="E43" s="3"/>
      <c r="F43" s="14"/>
    </row>
    <row r="44" spans="5:6" ht="14.4" x14ac:dyDescent="0.3">
      <c r="E44" s="3" t="s">
        <v>272</v>
      </c>
      <c r="F44" s="14" t="s">
        <v>106</v>
      </c>
    </row>
    <row r="45" spans="5:6" ht="14.4" x14ac:dyDescent="0.3">
      <c r="E45" s="3"/>
      <c r="F45" s="14"/>
    </row>
    <row r="46" spans="5:6" ht="14.4" x14ac:dyDescent="0.3">
      <c r="E46" s="3" t="s">
        <v>273</v>
      </c>
      <c r="F46" s="14" t="s">
        <v>107</v>
      </c>
    </row>
    <row r="47" spans="5:6" ht="14.4" x14ac:dyDescent="0.3">
      <c r="E47" s="3"/>
      <c r="F47" s="14"/>
    </row>
    <row r="48" spans="5:6" ht="14.4" x14ac:dyDescent="0.3">
      <c r="E48" s="3" t="s">
        <v>274</v>
      </c>
      <c r="F48" s="14" t="s">
        <v>108</v>
      </c>
    </row>
    <row r="49" spans="5:6" ht="14.4" x14ac:dyDescent="0.3">
      <c r="E49" s="3"/>
      <c r="F49" s="14"/>
    </row>
    <row r="50" spans="5:6" ht="14.4" x14ac:dyDescent="0.3">
      <c r="E50" s="3" t="s">
        <v>275</v>
      </c>
      <c r="F50" s="14" t="s">
        <v>109</v>
      </c>
    </row>
  </sheetData>
  <mergeCells count="1">
    <mergeCell ref="E38:F3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4.44140625" defaultRowHeight="15" customHeight="1"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28"/>
  <sheetViews>
    <sheetView workbookViewId="0"/>
  </sheetViews>
  <sheetFormatPr defaultColWidth="14.44140625" defaultRowHeight="15" customHeight="1" x14ac:dyDescent="0.3"/>
  <sheetData>
    <row r="1" spans="1:28" x14ac:dyDescent="0.3">
      <c r="A1" s="1" t="s">
        <v>0</v>
      </c>
      <c r="B1" s="2"/>
      <c r="C1" s="3" t="s">
        <v>1</v>
      </c>
      <c r="D1" s="1" t="s">
        <v>2</v>
      </c>
      <c r="E1" s="3" t="s">
        <v>78</v>
      </c>
      <c r="F1" s="3" t="s">
        <v>79</v>
      </c>
      <c r="G1" s="3" t="s">
        <v>80</v>
      </c>
      <c r="H1" s="3" t="s">
        <v>81</v>
      </c>
      <c r="I1" s="3" t="s">
        <v>82</v>
      </c>
      <c r="J1" s="3" t="s">
        <v>83</v>
      </c>
      <c r="K1" s="3" t="s">
        <v>84</v>
      </c>
      <c r="L1" s="3" t="s">
        <v>85</v>
      </c>
      <c r="M1" s="3" t="s">
        <v>86</v>
      </c>
      <c r="N1" s="3" t="s">
        <v>87</v>
      </c>
      <c r="O1" s="3" t="s">
        <v>88</v>
      </c>
      <c r="P1" s="3" t="s">
        <v>89</v>
      </c>
      <c r="Q1" s="3" t="s">
        <v>90</v>
      </c>
      <c r="R1" s="3" t="s">
        <v>91</v>
      </c>
      <c r="S1" s="3" t="s">
        <v>92</v>
      </c>
      <c r="T1" s="3" t="s">
        <v>93</v>
      </c>
      <c r="U1" s="3" t="s">
        <v>94</v>
      </c>
      <c r="V1" s="3" t="s">
        <v>95</v>
      </c>
      <c r="W1" s="3" t="s">
        <v>96</v>
      </c>
      <c r="X1" s="3" t="s">
        <v>97</v>
      </c>
      <c r="Y1" s="3" t="s">
        <v>98</v>
      </c>
      <c r="Z1" s="29" t="s">
        <v>99</v>
      </c>
      <c r="AA1" s="27"/>
      <c r="AB1" s="1" t="s">
        <v>100</v>
      </c>
    </row>
    <row r="2" spans="1:28" x14ac:dyDescent="0.3">
      <c r="A2" s="6" t="s">
        <v>4</v>
      </c>
      <c r="B2" s="6"/>
      <c r="C2" s="3" t="s">
        <v>5</v>
      </c>
      <c r="D2" s="6" t="s">
        <v>276</v>
      </c>
      <c r="E2" s="5">
        <f>FD!E2*INST!B2</f>
        <v>3.4200000000000001E-2</v>
      </c>
      <c r="F2" s="5">
        <f>FD!F2*INST!C2</f>
        <v>3.2399999999999998E-2</v>
      </c>
      <c r="G2" s="5">
        <f>FD!G2*INST!D2</f>
        <v>4.6000000000000006E-2</v>
      </c>
      <c r="H2" s="5">
        <f>FD!H2*INST!E2</f>
        <v>4.8000000000000001E-2</v>
      </c>
      <c r="I2" s="5">
        <f>FD!I2*INST!F2</f>
        <v>5.0599999999999999E-2</v>
      </c>
      <c r="J2" s="5">
        <f>FD!J2*INST!G2</f>
        <v>5.0599999999999999E-2</v>
      </c>
      <c r="K2" s="5">
        <f>FD!K2*INST!H2</f>
        <v>5.6399999999999992E-2</v>
      </c>
      <c r="L2" s="5">
        <f>FD!L2*INST!I2</f>
        <v>6.2399999999999997E-2</v>
      </c>
      <c r="M2" s="5">
        <f>FD!M2*INST!J2</f>
        <v>6.8600000000000008E-2</v>
      </c>
      <c r="N2" s="5">
        <f>FD!N2*INST!K2</f>
        <v>7.8399999999999997E-2</v>
      </c>
      <c r="O2" s="5">
        <f>FD!O2*INST!L2</f>
        <v>7.1999999999999995E-2</v>
      </c>
      <c r="P2" s="5">
        <f>FD!P2*INST!M2</f>
        <v>6.4400000000000013E-2</v>
      </c>
      <c r="Q2" s="5">
        <f>FD!Q2*INST!N2</f>
        <v>5.8500000000000003E-2</v>
      </c>
      <c r="R2" s="5">
        <f>FD!R2*INST!O2</f>
        <v>6.4400000000000013E-2</v>
      </c>
      <c r="S2" s="5">
        <f>FD!S2*INST!P2</f>
        <v>5.5899999999999998E-2</v>
      </c>
      <c r="T2" s="5">
        <f>FD!T2*INST!Q2</f>
        <v>6.1499999999999992E-2</v>
      </c>
      <c r="U2" s="5">
        <f>FD!U2*INST!R2</f>
        <v>6.3E-2</v>
      </c>
      <c r="V2" s="5">
        <f>FD!V2*INST!S2</f>
        <v>6.1499999999999992E-2</v>
      </c>
      <c r="W2" s="5">
        <f>FD!W2*INST!T2</f>
        <v>6.3000000000000014E-2</v>
      </c>
      <c r="X2" s="5">
        <f>FD!X2*INST!U2</f>
        <v>4.9000000000000002E-2</v>
      </c>
      <c r="Y2" s="5">
        <f>FD!Y2*INST!V2</f>
        <v>6.1100000000000002E-2</v>
      </c>
      <c r="Z2" s="5">
        <f>FD!Z2*INST!W2</f>
        <v>6.8600000000000008E-2</v>
      </c>
      <c r="AB2" s="6">
        <f t="shared" ref="AB2:AB28" si="0">AVERAGE(E2:Z2)</f>
        <v>5.7749999999999989E-2</v>
      </c>
    </row>
    <row r="3" spans="1:28" x14ac:dyDescent="0.3">
      <c r="A3" s="6" t="s">
        <v>7</v>
      </c>
      <c r="B3" s="6"/>
      <c r="C3" s="3" t="s">
        <v>8</v>
      </c>
      <c r="D3" s="6" t="s">
        <v>276</v>
      </c>
      <c r="E3" s="5">
        <f>FD!E3*INST!B3</f>
        <v>0.12100000000000001</v>
      </c>
      <c r="F3" s="5">
        <f>FD!F3*INST!C3</f>
        <v>9.5000000000000001E-2</v>
      </c>
      <c r="G3" s="5">
        <f>FD!G3*INST!D3</f>
        <v>8.0000000000000016E-2</v>
      </c>
      <c r="H3" s="5">
        <f>FD!H3*INST!E3</f>
        <v>8.4000000000000005E-2</v>
      </c>
      <c r="I3" s="5">
        <f>FD!I3*INST!F3</f>
        <v>7.9799999999999996E-2</v>
      </c>
      <c r="J3" s="5">
        <f>FD!J3*INST!G3</f>
        <v>7.5200000000000003E-2</v>
      </c>
      <c r="K3" s="5">
        <f>FD!K3*INST!H3</f>
        <v>6.3000000000000014E-2</v>
      </c>
      <c r="L3" s="5">
        <f>FD!L3*INST!I3</f>
        <v>7.0499999999999993E-2</v>
      </c>
      <c r="M3" s="5">
        <f>FD!M3*INST!J3</f>
        <v>8.7400000000000005E-2</v>
      </c>
      <c r="N3" s="5">
        <f>FD!N3*INST!K3</f>
        <v>0.10400000000000001</v>
      </c>
      <c r="O3" s="5">
        <f>FD!O3*INST!L3</f>
        <v>0.11270000000000001</v>
      </c>
      <c r="P3" s="5">
        <f>FD!P3*INST!M3</f>
        <v>9.8699999999999996E-2</v>
      </c>
      <c r="Q3" s="5">
        <f>FD!Q3*INST!N3</f>
        <v>9.4E-2</v>
      </c>
      <c r="R3" s="5">
        <f>FD!R3*INST!O3</f>
        <v>9.8699999999999996E-2</v>
      </c>
      <c r="S3" s="5">
        <f>FD!S3*INST!P3</f>
        <v>0.12479999999999999</v>
      </c>
      <c r="T3" s="5">
        <f>FD!T3*INST!Q3</f>
        <v>0.125</v>
      </c>
      <c r="U3" s="5">
        <f>FD!U3*INST!R3</f>
        <v>0.1225</v>
      </c>
      <c r="V3" s="5">
        <f>FD!V3*INST!S3</f>
        <v>0.13440000000000002</v>
      </c>
      <c r="W3" s="5">
        <f>FD!W3*INST!T3</f>
        <v>0.12</v>
      </c>
      <c r="X3" s="5">
        <f>FD!X3*INST!U3</f>
        <v>0.1225</v>
      </c>
      <c r="Y3" s="5">
        <f>FD!Y3*INST!V3</f>
        <v>0.1176</v>
      </c>
      <c r="Z3" s="5">
        <f>FD!Z3*INST!W3</f>
        <v>0.12239999999999999</v>
      </c>
      <c r="AB3" s="6">
        <f t="shared" si="0"/>
        <v>0.10241818181818182</v>
      </c>
    </row>
    <row r="4" spans="1:28" x14ac:dyDescent="0.3">
      <c r="A4" s="6" t="s">
        <v>9</v>
      </c>
      <c r="B4" s="6"/>
      <c r="C4" s="3" t="s">
        <v>10</v>
      </c>
      <c r="D4" s="6" t="s">
        <v>276</v>
      </c>
      <c r="E4" s="5">
        <f>FD!E4*INST!B4</f>
        <v>6.6000000000000003E-2</v>
      </c>
      <c r="F4" s="5">
        <f>FD!F4*INST!C4</f>
        <v>6.7099999999999993E-2</v>
      </c>
      <c r="G4" s="5">
        <f>FD!G4*INST!D4</f>
        <v>6.720000000000001E-2</v>
      </c>
      <c r="H4" s="5">
        <f>FD!H4*INST!E4</f>
        <v>8.5499999999999993E-2</v>
      </c>
      <c r="I4" s="5">
        <f>FD!I4*INST!F4</f>
        <v>7.8E-2</v>
      </c>
      <c r="J4" s="5">
        <f>FD!J4*INST!G4</f>
        <v>7.4999999999999997E-2</v>
      </c>
      <c r="K4" s="5">
        <f>FD!K4*INST!H4</f>
        <v>7.6799999999999993E-2</v>
      </c>
      <c r="L4" s="5">
        <f>FD!L4*INST!I4</f>
        <v>8.4599999999999995E-2</v>
      </c>
      <c r="M4" s="5">
        <f>FD!M4*INST!J4</f>
        <v>9.1799999999999993E-2</v>
      </c>
      <c r="N4" s="5">
        <f>FD!N4*INST!K4</f>
        <v>9.6000000000000002E-2</v>
      </c>
      <c r="O4" s="5">
        <f>FD!O4*INST!L4</f>
        <v>9.4E-2</v>
      </c>
      <c r="P4" s="5">
        <f>FD!P4*INST!M4</f>
        <v>0.10339999999999999</v>
      </c>
      <c r="Q4" s="5">
        <f>FD!Q4*INST!N4</f>
        <v>0.10350000000000001</v>
      </c>
      <c r="R4" s="5">
        <f>FD!R4*INST!O4</f>
        <v>0.1176</v>
      </c>
      <c r="S4" s="5">
        <f>FD!S4*INST!P4</f>
        <v>0.13520000000000001</v>
      </c>
      <c r="T4" s="5">
        <f>FD!T4*INST!Q4</f>
        <v>0.14280000000000001</v>
      </c>
      <c r="U4" s="5">
        <f>FD!U4*INST!R4</f>
        <v>0.15</v>
      </c>
      <c r="V4" s="5">
        <f>FD!V4*INST!S4</f>
        <v>0.15809999999999999</v>
      </c>
      <c r="W4" s="5">
        <f>FD!W4*INST!T4</f>
        <v>0.16</v>
      </c>
      <c r="X4" s="5">
        <f>FD!X4*INST!U4</f>
        <v>0.16170000000000001</v>
      </c>
      <c r="Y4" s="5">
        <f>FD!Y4*INST!V4</f>
        <v>0.16799999999999998</v>
      </c>
      <c r="Z4" s="5">
        <f>FD!Z4*INST!W4</f>
        <v>0.18329999999999999</v>
      </c>
      <c r="AB4" s="6">
        <f t="shared" si="0"/>
        <v>0.11207272727272727</v>
      </c>
    </row>
    <row r="5" spans="1:28" x14ac:dyDescent="0.3">
      <c r="A5" s="6" t="s">
        <v>11</v>
      </c>
      <c r="B5" s="6"/>
      <c r="C5" s="3" t="s">
        <v>12</v>
      </c>
      <c r="D5" s="6" t="s">
        <v>276</v>
      </c>
      <c r="E5" s="5">
        <f>FD!E5*INST!B5</f>
        <v>3.8399999999999997E-2</v>
      </c>
      <c r="F5" s="5">
        <f>FD!F5*INST!C5</f>
        <v>3.6000000000000004E-2</v>
      </c>
      <c r="G5" s="5">
        <f>FD!G5*INST!D5</f>
        <v>3.44E-2</v>
      </c>
      <c r="H5" s="5">
        <f>FD!H5*INST!E5</f>
        <v>2.9400000000000003E-2</v>
      </c>
      <c r="I5" s="5">
        <f>FD!I5*INST!F5</f>
        <v>3.2899999999999999E-2</v>
      </c>
      <c r="J5" s="5">
        <f>FD!J5*INST!G5</f>
        <v>3.9199999999999999E-2</v>
      </c>
      <c r="K5" s="5">
        <f>FD!K5*INST!H5</f>
        <v>4.3200000000000002E-2</v>
      </c>
      <c r="L5" s="5">
        <f>FD!L5*INST!I5</f>
        <v>4.9500000000000002E-2</v>
      </c>
      <c r="M5" s="5">
        <f>FD!M5*INST!J5</f>
        <v>5.1299999999999991E-2</v>
      </c>
      <c r="N5" s="5">
        <f>FD!N5*INST!K5</f>
        <v>4.4000000000000004E-2</v>
      </c>
      <c r="O5" s="5">
        <f>FD!O5*INST!L5</f>
        <v>4.1600000000000005E-2</v>
      </c>
      <c r="P5" s="5">
        <f>FD!P5*INST!M5</f>
        <v>3.8399999999999997E-2</v>
      </c>
      <c r="Q5" s="5">
        <f>FD!Q5*INST!N5</f>
        <v>3.7600000000000001E-2</v>
      </c>
      <c r="R5" s="5">
        <f>FD!R5*INST!O5</f>
        <v>4.7E-2</v>
      </c>
      <c r="S5" s="5">
        <f>FD!S5*INST!P5</f>
        <v>3.6000000000000004E-2</v>
      </c>
      <c r="T5" s="5">
        <f>FD!T5*INST!Q5</f>
        <v>3.6000000000000004E-2</v>
      </c>
      <c r="U5" s="5">
        <f>FD!U5*INST!R5</f>
        <v>3.6000000000000004E-2</v>
      </c>
      <c r="V5" s="5">
        <f>FD!V5*INST!S5</f>
        <v>3.6899999999999995E-2</v>
      </c>
      <c r="W5" s="5">
        <f>FD!W5*INST!T5</f>
        <v>3.78E-2</v>
      </c>
      <c r="X5" s="5">
        <f>FD!X5*INST!U5</f>
        <v>3.6899999999999995E-2</v>
      </c>
      <c r="Y5" s="5">
        <f>FD!Y5*INST!V5</f>
        <v>3.78E-2</v>
      </c>
      <c r="Z5" s="5">
        <f>FD!Z5*INST!W5</f>
        <v>4.1000000000000002E-2</v>
      </c>
      <c r="AB5" s="6">
        <f t="shared" si="0"/>
        <v>3.9150000000000011E-2</v>
      </c>
    </row>
    <row r="6" spans="1:28" x14ac:dyDescent="0.3">
      <c r="A6" s="6" t="s">
        <v>13</v>
      </c>
      <c r="B6" s="6"/>
      <c r="C6" s="3" t="s">
        <v>14</v>
      </c>
      <c r="D6" s="6" t="s">
        <v>276</v>
      </c>
      <c r="E6" s="5">
        <f>FD!E6*INST!B6</f>
        <v>1.3999999999999999E-2</v>
      </c>
      <c r="F6" s="5">
        <f>FD!F6*INST!C6</f>
        <v>2.1000000000000001E-2</v>
      </c>
      <c r="G6" s="5">
        <f>FD!G6*INST!D6</f>
        <v>1.72E-2</v>
      </c>
      <c r="H6" s="5">
        <f>FD!H6*INST!E6</f>
        <v>2.5199999999999997E-2</v>
      </c>
      <c r="I6" s="5">
        <f>FD!I6*INST!F6</f>
        <v>1.72E-2</v>
      </c>
      <c r="J6" s="5">
        <f>FD!J6*INST!G6</f>
        <v>1.29E-2</v>
      </c>
      <c r="K6" s="5">
        <f>FD!K6*INST!H6</f>
        <v>1.32E-2</v>
      </c>
      <c r="L6" s="5">
        <f>FD!L6*INST!I6</f>
        <v>1.32E-2</v>
      </c>
      <c r="M6" s="5">
        <f>FD!M6*INST!J6</f>
        <v>1.7600000000000001E-2</v>
      </c>
      <c r="N6" s="5">
        <f>FD!N6*INST!K6</f>
        <v>3.44E-2</v>
      </c>
      <c r="O6" s="5">
        <f>FD!O6*INST!L6</f>
        <v>3.8699999999999998E-2</v>
      </c>
      <c r="P6" s="5">
        <f>FD!P6*INST!M6</f>
        <v>3.44E-2</v>
      </c>
      <c r="Q6" s="5">
        <f>FD!Q6*INST!N6</f>
        <v>3.78E-2</v>
      </c>
      <c r="R6" s="5">
        <f>FD!R6*INST!O6</f>
        <v>3.78E-2</v>
      </c>
      <c r="S6" s="5">
        <f>FD!S6*INST!P6</f>
        <v>4.2000000000000003E-2</v>
      </c>
      <c r="T6" s="5">
        <f>FD!T6*INST!Q6</f>
        <v>5.5199999999999999E-2</v>
      </c>
      <c r="U6" s="5">
        <f>FD!U6*INST!R6</f>
        <v>5.16E-2</v>
      </c>
      <c r="V6" s="5">
        <f>FD!V6*INST!S6</f>
        <v>4.6800000000000001E-2</v>
      </c>
      <c r="W6" s="5">
        <f>FD!W6*INST!T6</f>
        <v>4.0000000000000008E-2</v>
      </c>
      <c r="X6" s="5">
        <f>FD!X6*INST!U6</f>
        <v>4.3000000000000003E-2</v>
      </c>
      <c r="Y6" s="5">
        <f>FD!Y6*INST!V6</f>
        <v>4.1000000000000002E-2</v>
      </c>
      <c r="Z6" s="5">
        <f>FD!Z6*INST!W6</f>
        <v>3.78E-2</v>
      </c>
      <c r="AB6" s="6">
        <f t="shared" si="0"/>
        <v>3.145454545454545E-2</v>
      </c>
    </row>
    <row r="7" spans="1:28" x14ac:dyDescent="0.3">
      <c r="A7" s="6" t="s">
        <v>15</v>
      </c>
      <c r="B7" s="6"/>
      <c r="C7" s="3" t="s">
        <v>16</v>
      </c>
      <c r="D7" s="6" t="s">
        <v>276</v>
      </c>
      <c r="E7" s="5">
        <f>FD!E7*INST!B7</f>
        <v>7.8400000000000011E-2</v>
      </c>
      <c r="F7" s="5">
        <f>FD!F7*INST!C7</f>
        <v>4.0800000000000003E-2</v>
      </c>
      <c r="G7" s="5">
        <f>FD!G7*INST!D7</f>
        <v>3.4999999999999996E-2</v>
      </c>
      <c r="H7" s="5">
        <f>FD!H7*INST!E7</f>
        <v>3.6999999999999998E-2</v>
      </c>
      <c r="I7" s="5">
        <f>FD!I7*INST!F7</f>
        <v>3.5200000000000002E-2</v>
      </c>
      <c r="J7" s="5">
        <f>FD!J7*INST!G7</f>
        <v>3.1899999999999998E-2</v>
      </c>
      <c r="K7" s="5">
        <f>FD!K7*INST!H7</f>
        <v>4.0300000000000002E-2</v>
      </c>
      <c r="L7" s="5">
        <f>FD!L7*INST!I7</f>
        <v>4.6200000000000005E-2</v>
      </c>
      <c r="M7" s="5">
        <f>FD!M7*INST!J7</f>
        <v>4.760000000000001E-2</v>
      </c>
      <c r="N7" s="5">
        <f>FD!N7*INST!K7</f>
        <v>4.760000000000001E-2</v>
      </c>
      <c r="O7" s="5">
        <f>FD!O7*INST!L7</f>
        <v>5.1000000000000004E-2</v>
      </c>
      <c r="P7" s="5">
        <f>FD!P7*INST!M7</f>
        <v>4.8100000000000004E-2</v>
      </c>
      <c r="Q7" s="5">
        <f>FD!Q7*INST!N7</f>
        <v>5.5500000000000001E-2</v>
      </c>
      <c r="R7" s="5">
        <f>FD!R7*INST!O7</f>
        <v>5.9200000000000003E-2</v>
      </c>
      <c r="S7" s="5">
        <f>FD!S7*INST!P7</f>
        <v>6.2400000000000004E-2</v>
      </c>
      <c r="T7" s="5">
        <f>FD!T7*INST!Q7</f>
        <v>6.6300000000000012E-2</v>
      </c>
      <c r="U7" s="5">
        <f>FD!U7*INST!R7</f>
        <v>6.9699999999999998E-2</v>
      </c>
      <c r="V7" s="5">
        <f>FD!V7*INST!S7</f>
        <v>6.9699999999999998E-2</v>
      </c>
      <c r="W7" s="5">
        <f>FD!W7*INST!T7</f>
        <v>6.1499999999999992E-2</v>
      </c>
      <c r="X7" s="5">
        <f>FD!X7*INST!U7</f>
        <v>5.74E-2</v>
      </c>
      <c r="Y7" s="5">
        <f>FD!Y7*INST!V7</f>
        <v>5.0700000000000002E-2</v>
      </c>
      <c r="Z7" s="5">
        <f>FD!Z7*INST!W7</f>
        <v>5.5899999999999998E-2</v>
      </c>
      <c r="AB7" s="6">
        <f t="shared" si="0"/>
        <v>5.215454545454546E-2</v>
      </c>
    </row>
    <row r="8" spans="1:28" x14ac:dyDescent="0.3">
      <c r="A8" s="6" t="s">
        <v>17</v>
      </c>
      <c r="B8" s="6"/>
      <c r="C8" s="3" t="s">
        <v>18</v>
      </c>
      <c r="D8" s="6" t="s">
        <v>276</v>
      </c>
      <c r="E8" s="5">
        <f>FD!E8*INST!B8</f>
        <v>0.17399999999999999</v>
      </c>
      <c r="F8" s="5">
        <f>FD!F8*INST!C8</f>
        <v>0.18289999999999998</v>
      </c>
      <c r="G8" s="5">
        <f>FD!G8*INST!D8</f>
        <v>0.17490000000000003</v>
      </c>
      <c r="H8" s="5">
        <f>FD!H8*INST!E8</f>
        <v>0.17820000000000003</v>
      </c>
      <c r="I8" s="5">
        <f>FD!I8*INST!F8</f>
        <v>0.18020000000000003</v>
      </c>
      <c r="J8" s="5">
        <f>FD!J8*INST!G8</f>
        <v>0.2268</v>
      </c>
      <c r="K8" s="5">
        <f>FD!K8*INST!H8</f>
        <v>0.19980000000000001</v>
      </c>
      <c r="L8" s="5">
        <f>FD!L8*INST!I8</f>
        <v>0.19240000000000002</v>
      </c>
      <c r="M8" s="5">
        <f>FD!M8*INST!J8</f>
        <v>0.22359999999999999</v>
      </c>
      <c r="N8" s="5">
        <f>FD!N8*INST!K8</f>
        <v>0.20400000000000001</v>
      </c>
      <c r="O8" s="5">
        <f>FD!O8*INST!L8</f>
        <v>0.15679999999999999</v>
      </c>
      <c r="P8" s="5">
        <f>FD!P8*INST!M8</f>
        <v>0.12600000000000003</v>
      </c>
      <c r="Q8" s="5">
        <f>FD!Q8*INST!N8</f>
        <v>0.1188</v>
      </c>
      <c r="R8" s="5">
        <f>FD!R8*INST!O8</f>
        <v>0.1144</v>
      </c>
      <c r="S8" s="5">
        <f>FD!S8*INST!P8</f>
        <v>0.13339999999999999</v>
      </c>
      <c r="T8" s="5">
        <f>FD!T8*INST!Q8</f>
        <v>0.12690000000000001</v>
      </c>
      <c r="U8" s="5">
        <f>FD!U8*INST!R8</f>
        <v>0.14099999999999999</v>
      </c>
      <c r="V8" s="5">
        <f>FD!V8*INST!S8</f>
        <v>0.14499999999999999</v>
      </c>
      <c r="W8" s="5">
        <f>FD!W8*INST!T8</f>
        <v>0.14499999999999999</v>
      </c>
      <c r="X8" s="5">
        <f>FD!X8*INST!U8</f>
        <v>0.159</v>
      </c>
      <c r="Y8" s="5">
        <f>FD!Y8*INST!V8</f>
        <v>0.153</v>
      </c>
      <c r="Z8" s="5">
        <f>FD!Z8*INST!W8</f>
        <v>0.16120000000000001</v>
      </c>
      <c r="AB8" s="6">
        <f t="shared" si="0"/>
        <v>0.16442272727272725</v>
      </c>
    </row>
    <row r="9" spans="1:28" x14ac:dyDescent="0.3">
      <c r="A9" s="6" t="s">
        <v>19</v>
      </c>
      <c r="B9" s="6"/>
      <c r="C9" s="3" t="s">
        <v>20</v>
      </c>
      <c r="D9" s="6" t="s">
        <v>276</v>
      </c>
      <c r="E9" s="5">
        <f>FD!E9*INST!B9</f>
        <v>6.4799999999999996E-2</v>
      </c>
      <c r="F9" s="5">
        <f>FD!F9*INST!C9</f>
        <v>0.06</v>
      </c>
      <c r="G9" s="5">
        <f>FD!G9*INST!D9</f>
        <v>5.3899999999999997E-2</v>
      </c>
      <c r="H9" s="5">
        <f>FD!H9*INST!E9</f>
        <v>5.8799999999999998E-2</v>
      </c>
      <c r="I9" s="5">
        <f>FD!I9*INST!F9</f>
        <v>7.2800000000000004E-2</v>
      </c>
      <c r="J9" s="5">
        <f>FD!J9*INST!G9</f>
        <v>6.6000000000000003E-2</v>
      </c>
      <c r="K9" s="5">
        <f>FD!K9*INST!H9</f>
        <v>6.2699999999999992E-2</v>
      </c>
      <c r="L9" s="5">
        <f>FD!L9*INST!I9</f>
        <v>6.720000000000001E-2</v>
      </c>
      <c r="M9" s="5">
        <f>FD!M9*INST!J9</f>
        <v>7.2800000000000004E-2</v>
      </c>
      <c r="N9" s="5">
        <f>FD!N9*INST!K9</f>
        <v>6.1600000000000009E-2</v>
      </c>
      <c r="O9" s="5">
        <f>FD!O9*INST!L9</f>
        <v>6.720000000000001E-2</v>
      </c>
      <c r="P9" s="5">
        <f>FD!P9*INST!M9</f>
        <v>7.5399999999999995E-2</v>
      </c>
      <c r="Q9" s="5">
        <f>FD!Q9*INST!N9</f>
        <v>8.5499999999999993E-2</v>
      </c>
      <c r="R9" s="5">
        <f>FD!R9*INST!O9</f>
        <v>8.5499999999999993E-2</v>
      </c>
      <c r="S9" s="5">
        <f>FD!S9*INST!P9</f>
        <v>9.2799999999999994E-2</v>
      </c>
      <c r="T9" s="5">
        <f>FD!T9*INST!Q9</f>
        <v>9.6000000000000002E-2</v>
      </c>
      <c r="U9" s="5">
        <f>FD!U9*INST!R9</f>
        <v>0.1003</v>
      </c>
      <c r="V9" s="5">
        <f>FD!V9*INST!S9</f>
        <v>9.8600000000000007E-2</v>
      </c>
      <c r="W9" s="5">
        <f>FD!W9*INST!T9</f>
        <v>0.1003</v>
      </c>
      <c r="X9" s="5">
        <f>FD!X9*INST!U9</f>
        <v>0.10439999999999999</v>
      </c>
      <c r="Y9" s="5">
        <f>FD!Y9*INST!V9</f>
        <v>0.1003</v>
      </c>
      <c r="Z9" s="5">
        <f>FD!Z9*INST!W9</f>
        <v>0.10259999999999998</v>
      </c>
      <c r="AB9" s="6">
        <f t="shared" si="0"/>
        <v>7.95227272727273E-2</v>
      </c>
    </row>
    <row r="10" spans="1:28" x14ac:dyDescent="0.3">
      <c r="A10" s="6" t="s">
        <v>21</v>
      </c>
      <c r="B10" s="6"/>
      <c r="C10" s="3" t="s">
        <v>22</v>
      </c>
      <c r="D10" s="6" t="s">
        <v>276</v>
      </c>
      <c r="E10" s="5">
        <f>FD!E10*INST!B10</f>
        <v>2.8799999999999999E-2</v>
      </c>
      <c r="F10" s="5">
        <f>FD!F10*INST!C10</f>
        <v>3.0600000000000002E-2</v>
      </c>
      <c r="G10" s="5">
        <f>FD!G10*INST!D10</f>
        <v>2.7E-2</v>
      </c>
      <c r="H10" s="5">
        <f>FD!H10*INST!E10</f>
        <v>2.6099999999999998E-2</v>
      </c>
      <c r="I10" s="5">
        <f>FD!I10*INST!F10</f>
        <v>2.7E-2</v>
      </c>
      <c r="J10" s="5">
        <f>FD!J10*INST!G10</f>
        <v>1.4999999999999999E-2</v>
      </c>
      <c r="K10" s="5">
        <f>FD!K10*INST!H10</f>
        <v>1.38E-2</v>
      </c>
      <c r="L10" s="5">
        <f>FD!L10*INST!I10</f>
        <v>1.7399999999999999E-2</v>
      </c>
      <c r="M10" s="5">
        <f>FD!M10*INST!J10</f>
        <v>1.5599999999999999E-2</v>
      </c>
      <c r="N10" s="5">
        <f>FD!N10*INST!K10</f>
        <v>2.1600000000000001E-2</v>
      </c>
      <c r="O10" s="5">
        <f>FD!O10*INST!L10</f>
        <v>0.02</v>
      </c>
      <c r="P10" s="5">
        <f>FD!P10*INST!M10</f>
        <v>2.4300000000000002E-2</v>
      </c>
      <c r="Q10" s="5">
        <f>FD!Q10*INST!N10</f>
        <v>2.8000000000000004E-2</v>
      </c>
      <c r="R10" s="5">
        <f>FD!R10*INST!O10</f>
        <v>2.7000000000000003E-2</v>
      </c>
      <c r="S10" s="5">
        <f>FD!S10*INST!P10</f>
        <v>2.8000000000000004E-2</v>
      </c>
      <c r="T10" s="5">
        <f>FD!T10*INST!Q10</f>
        <v>2.7000000000000003E-2</v>
      </c>
      <c r="U10" s="5">
        <f>FD!U10*INST!R10</f>
        <v>2.8000000000000004E-2</v>
      </c>
      <c r="V10" s="5">
        <f>FD!V10*INST!S10</f>
        <v>3.3000000000000002E-2</v>
      </c>
      <c r="W10" s="5">
        <f>FD!W10*INST!T10</f>
        <v>3.2000000000000001E-2</v>
      </c>
      <c r="X10" s="5">
        <f>FD!X10*INST!U10</f>
        <v>3.1E-2</v>
      </c>
      <c r="Y10" s="5">
        <f>FD!Y10*INST!V10</f>
        <v>2.7E-2</v>
      </c>
      <c r="Z10" s="5">
        <f>FD!Z10*INST!W10</f>
        <v>2.8000000000000004E-2</v>
      </c>
      <c r="AB10" s="6">
        <f t="shared" si="0"/>
        <v>2.5281818181818193E-2</v>
      </c>
    </row>
    <row r="11" spans="1:28" x14ac:dyDescent="0.3">
      <c r="A11" s="6" t="s">
        <v>23</v>
      </c>
      <c r="B11" s="6"/>
      <c r="C11" s="3" t="s">
        <v>24</v>
      </c>
      <c r="D11" s="6" t="s">
        <v>276</v>
      </c>
      <c r="E11" s="5">
        <f>FD!E11*INST!B11</f>
        <v>6.7600000000000007E-2</v>
      </c>
      <c r="F11" s="5">
        <f>FD!F11*INST!C11</f>
        <v>7.9500000000000001E-2</v>
      </c>
      <c r="G11" s="5">
        <f>FD!G11*INST!D11</f>
        <v>7.4200000000000016E-2</v>
      </c>
      <c r="H11" s="5">
        <f>FD!H11*INST!E11</f>
        <v>8.48E-2</v>
      </c>
      <c r="I11" s="5">
        <f>FD!I11*INST!F11</f>
        <v>7.6499999999999999E-2</v>
      </c>
      <c r="J11" s="5">
        <f>FD!J11*INST!G11</f>
        <v>8.1600000000000006E-2</v>
      </c>
      <c r="K11" s="5">
        <f>FD!K11*INST!H11</f>
        <v>9.1799999999999993E-2</v>
      </c>
      <c r="L11" s="5">
        <f>FD!L11*INST!I11</f>
        <v>9.5000000000000001E-2</v>
      </c>
      <c r="M11" s="5">
        <f>FD!M11*INST!J11</f>
        <v>9.8000000000000004E-2</v>
      </c>
      <c r="N11" s="5">
        <f>FD!N11*INST!K11</f>
        <v>9.3100000000000002E-2</v>
      </c>
      <c r="O11" s="5">
        <f>FD!O11*INST!L11</f>
        <v>0.09</v>
      </c>
      <c r="P11" s="5">
        <f>FD!P11*INST!M11</f>
        <v>9.1799999999999993E-2</v>
      </c>
      <c r="Q11" s="5">
        <f>FD!Q11*INST!N11</f>
        <v>9.6000000000000002E-2</v>
      </c>
      <c r="R11" s="5">
        <f>FD!R11*INST!O11</f>
        <v>9.8000000000000004E-2</v>
      </c>
      <c r="S11" s="5">
        <f>FD!S11*INST!P11</f>
        <v>0.1</v>
      </c>
      <c r="T11" s="5">
        <f>FD!T11*INST!Q11</f>
        <v>0.10400000000000001</v>
      </c>
      <c r="U11" s="5">
        <f>FD!U11*INST!R11</f>
        <v>0.10920000000000001</v>
      </c>
      <c r="V11" s="5">
        <f>FD!V11*INST!S11</f>
        <v>0.1071</v>
      </c>
      <c r="W11" s="5">
        <f>FD!W11*INST!T11</f>
        <v>0.1134</v>
      </c>
      <c r="X11" s="5">
        <f>FD!X11*INST!U11</f>
        <v>0.1071</v>
      </c>
      <c r="Y11" s="5">
        <f>FD!Y11*INST!V11</f>
        <v>0.1113</v>
      </c>
      <c r="Z11" s="5">
        <f>FD!Z11*INST!W11</f>
        <v>0.10920000000000001</v>
      </c>
      <c r="AB11" s="6">
        <f t="shared" si="0"/>
        <v>9.4509090909090918E-2</v>
      </c>
    </row>
    <row r="12" spans="1:28" x14ac:dyDescent="0.3">
      <c r="A12" s="6" t="s">
        <v>25</v>
      </c>
      <c r="B12" s="6"/>
      <c r="C12" s="3" t="s">
        <v>26</v>
      </c>
      <c r="D12" s="6" t="s">
        <v>276</v>
      </c>
      <c r="E12" s="5">
        <f>FD!E12*INST!B12</f>
        <v>0.27279999999999999</v>
      </c>
      <c r="F12" s="5">
        <f>FD!F12*INST!C12</f>
        <v>0.24779999999999996</v>
      </c>
      <c r="G12" s="5">
        <f>FD!G12*INST!D12</f>
        <v>0.2666</v>
      </c>
      <c r="H12" s="5">
        <f>FD!H12*INST!E12</f>
        <v>0.27089999999999997</v>
      </c>
      <c r="I12" s="5">
        <f>FD!I12*INST!F12</f>
        <v>0.30150000000000005</v>
      </c>
      <c r="J12" s="5">
        <f>FD!J12*INST!G12</f>
        <v>0.30150000000000005</v>
      </c>
      <c r="K12" s="5">
        <f>FD!K12*INST!H12</f>
        <v>0.31019999999999998</v>
      </c>
      <c r="L12" s="5">
        <f>FD!L12*INST!I12</f>
        <v>0.29250000000000004</v>
      </c>
      <c r="M12" s="5">
        <f>FD!M12*INST!J12</f>
        <v>0.312</v>
      </c>
      <c r="N12" s="5">
        <f>FD!N12*INST!K12</f>
        <v>0.33660000000000001</v>
      </c>
      <c r="O12" s="5">
        <f>FD!O12*INST!L12</f>
        <v>0.312</v>
      </c>
      <c r="P12" s="5">
        <f>FD!P12*INST!M12</f>
        <v>0.2772</v>
      </c>
      <c r="Q12" s="5">
        <f>FD!Q12*INST!N12</f>
        <v>0.2646</v>
      </c>
      <c r="R12" s="5">
        <f>FD!R12*INST!O12</f>
        <v>0.2646</v>
      </c>
      <c r="S12" s="5">
        <f>FD!S12*INST!P12</f>
        <v>0.28160000000000002</v>
      </c>
      <c r="T12" s="5">
        <f>FD!T12*INST!Q12</f>
        <v>0.29480000000000001</v>
      </c>
      <c r="U12" s="5">
        <f>FD!U12*INST!R12</f>
        <v>0.30150000000000005</v>
      </c>
      <c r="V12" s="5">
        <f>FD!V12*INST!S12</f>
        <v>0.30820000000000003</v>
      </c>
      <c r="W12" s="5">
        <f>FD!W12*INST!T12</f>
        <v>0.30549999999999999</v>
      </c>
      <c r="X12" s="5">
        <f>FD!X12*INST!U12</f>
        <v>0.31490000000000001</v>
      </c>
      <c r="Y12" s="5">
        <f>FD!Y12*INST!V12</f>
        <v>0.36180000000000007</v>
      </c>
      <c r="Z12" s="5">
        <f>FD!Z12*INST!W12</f>
        <v>0.36040000000000005</v>
      </c>
      <c r="AB12" s="6">
        <f t="shared" si="0"/>
        <v>0.29815909090909093</v>
      </c>
    </row>
    <row r="13" spans="1:28" x14ac:dyDescent="0.3">
      <c r="A13" s="6" t="s">
        <v>27</v>
      </c>
      <c r="B13" s="6"/>
      <c r="C13" s="3" t="s">
        <v>28</v>
      </c>
      <c r="D13" s="6" t="s">
        <v>276</v>
      </c>
      <c r="E13" s="5">
        <f>FD!E13*INST!B13</f>
        <v>0.37630000000000002</v>
      </c>
      <c r="F13" s="5">
        <f>FD!F13*INST!C13</f>
        <v>0.35510000000000003</v>
      </c>
      <c r="G13" s="5">
        <f>FD!G13*INST!D13</f>
        <v>0.34980000000000006</v>
      </c>
      <c r="H13" s="5">
        <f>FD!H13*INST!E13</f>
        <v>0.34840000000000004</v>
      </c>
      <c r="I13" s="5">
        <f>FD!I13*INST!F13</f>
        <v>0.36040000000000005</v>
      </c>
      <c r="J13" s="5">
        <f>FD!J13*INST!G13</f>
        <v>0.36720000000000003</v>
      </c>
      <c r="K13" s="5">
        <f>FD!K13*INST!H13</f>
        <v>0.34499999999999997</v>
      </c>
      <c r="L13" s="5">
        <f>FD!L13*INST!I13</f>
        <v>0.3417</v>
      </c>
      <c r="M13" s="5">
        <f>FD!M13*INST!J13</f>
        <v>0.38279999999999997</v>
      </c>
      <c r="N13" s="5">
        <f>FD!N13*INST!K13</f>
        <v>0.33</v>
      </c>
      <c r="O13" s="5">
        <f>FD!O13*INST!L13</f>
        <v>0.29900000000000004</v>
      </c>
      <c r="P13" s="5">
        <f>FD!P13*INST!M13</f>
        <v>0.2646</v>
      </c>
      <c r="Q13" s="5">
        <f>FD!Q13*INST!N13</f>
        <v>0.23599999999999999</v>
      </c>
      <c r="R13" s="5">
        <f>FD!R13*INST!O13</f>
        <v>0.23399999999999999</v>
      </c>
      <c r="S13" s="5">
        <f>FD!S13*INST!P13</f>
        <v>0.22569999999999998</v>
      </c>
      <c r="T13" s="5">
        <f>FD!T13*INST!Q13</f>
        <v>0.22569999999999998</v>
      </c>
      <c r="U13" s="5">
        <f>FD!U13*INST!R13</f>
        <v>0.21829999999999999</v>
      </c>
      <c r="V13" s="5">
        <f>FD!V13*INST!S13</f>
        <v>0.21089999999999998</v>
      </c>
      <c r="W13" s="5">
        <f>FD!W13*INST!T13</f>
        <v>0.21280000000000002</v>
      </c>
      <c r="X13" s="5">
        <f>FD!X13*INST!U13</f>
        <v>0.20519999999999997</v>
      </c>
      <c r="Y13" s="5">
        <f>FD!Y13*INST!V13</f>
        <v>0.19949999999999998</v>
      </c>
      <c r="Z13" s="5">
        <f>FD!Z13*INST!W13</f>
        <v>0.19800000000000001</v>
      </c>
      <c r="AB13" s="6">
        <f t="shared" si="0"/>
        <v>0.28574545454545447</v>
      </c>
    </row>
    <row r="14" spans="1:28" x14ac:dyDescent="0.3">
      <c r="A14" s="6" t="s">
        <v>29</v>
      </c>
      <c r="B14" s="6"/>
      <c r="C14" s="3" t="s">
        <v>30</v>
      </c>
      <c r="D14" s="6" t="s">
        <v>276</v>
      </c>
      <c r="E14" s="5">
        <f>FD!E14*INST!B14</f>
        <v>5.7599999999999998E-2</v>
      </c>
      <c r="F14" s="5">
        <f>FD!F14*INST!C14</f>
        <v>4.7E-2</v>
      </c>
      <c r="G14" s="5">
        <f>FD!G14*INST!D14</f>
        <v>4.7E-2</v>
      </c>
      <c r="H14" s="5">
        <f>FD!H14*INST!E14</f>
        <v>7.8E-2</v>
      </c>
      <c r="I14" s="5">
        <f>FD!I14*INST!F14</f>
        <v>7.5600000000000014E-2</v>
      </c>
      <c r="J14" s="5">
        <f>FD!J14*INST!G14</f>
        <v>7.2800000000000004E-2</v>
      </c>
      <c r="K14" s="5">
        <f>FD!K14*INST!H14</f>
        <v>8.8400000000000006E-2</v>
      </c>
      <c r="L14" s="5">
        <f>FD!L14*INST!I14</f>
        <v>8.6700000000000013E-2</v>
      </c>
      <c r="M14" s="5">
        <f>FD!M14*INST!J14</f>
        <v>7.6499999999999999E-2</v>
      </c>
      <c r="N14" s="5">
        <f>FD!N14*INST!K14</f>
        <v>7.0000000000000007E-2</v>
      </c>
      <c r="O14" s="5">
        <f>FD!O14*INST!L14</f>
        <v>8.8000000000000009E-2</v>
      </c>
      <c r="P14" s="5">
        <f>FD!P14*INST!M14</f>
        <v>8.1600000000000006E-2</v>
      </c>
      <c r="Q14" s="5">
        <f>FD!Q14*INST!N14</f>
        <v>8.3299999999999999E-2</v>
      </c>
      <c r="R14" s="5">
        <f>FD!R14*INST!O14</f>
        <v>8.5000000000000006E-2</v>
      </c>
      <c r="S14" s="5">
        <f>FD!S14*INST!P14</f>
        <v>9.1799999999999993E-2</v>
      </c>
      <c r="T14" s="5">
        <f>FD!T14*INST!Q14</f>
        <v>9.1799999999999993E-2</v>
      </c>
      <c r="U14" s="5">
        <f>FD!U14*INST!R14</f>
        <v>9.5399999999999999E-2</v>
      </c>
      <c r="V14" s="5">
        <f>FD!V14*INST!S14</f>
        <v>9.7200000000000009E-2</v>
      </c>
      <c r="W14" s="5">
        <f>FD!W14*INST!T14</f>
        <v>9.9000000000000005E-2</v>
      </c>
      <c r="X14" s="5">
        <f>FD!X14*INST!U14</f>
        <v>9.4399999999999998E-2</v>
      </c>
      <c r="Y14" s="5">
        <f>FD!Y14*INST!V14</f>
        <v>8.9600000000000013E-2</v>
      </c>
      <c r="Z14" s="5">
        <f>FD!Z14*INST!W14</f>
        <v>9.2799999999999994E-2</v>
      </c>
      <c r="AB14" s="6">
        <f t="shared" si="0"/>
        <v>8.1340909090909103E-2</v>
      </c>
    </row>
    <row r="15" spans="1:28" x14ac:dyDescent="0.3">
      <c r="A15" s="6" t="s">
        <v>31</v>
      </c>
      <c r="B15" s="6"/>
      <c r="C15" s="3" t="s">
        <v>32</v>
      </c>
      <c r="D15" s="6" t="s">
        <v>276</v>
      </c>
      <c r="E15" s="5">
        <f>FD!E15*INST!B15</f>
        <v>0.15079999999999999</v>
      </c>
      <c r="F15" s="5">
        <f>FD!F15*INST!C15</f>
        <v>0.14850000000000002</v>
      </c>
      <c r="G15" s="5">
        <f>FD!G15*INST!D15</f>
        <v>0.14850000000000002</v>
      </c>
      <c r="H15" s="5">
        <f>FD!H15*INST!E15</f>
        <v>0.14850000000000002</v>
      </c>
      <c r="I15" s="5">
        <f>FD!I15*INST!F15</f>
        <v>0.15680000000000002</v>
      </c>
      <c r="J15" s="5">
        <f>FD!J15*INST!G15</f>
        <v>0.17050000000000001</v>
      </c>
      <c r="K15" s="5">
        <f>FD!K15*INST!H15</f>
        <v>0.18020000000000003</v>
      </c>
      <c r="L15" s="5">
        <f>FD!L15*INST!I15</f>
        <v>0.17280000000000001</v>
      </c>
      <c r="M15" s="5">
        <f>FD!M15*INST!J15</f>
        <v>0.18360000000000001</v>
      </c>
      <c r="N15" s="5">
        <f>FD!N15*INST!K15</f>
        <v>0.16740000000000002</v>
      </c>
      <c r="O15" s="5">
        <f>FD!O15*INST!L15</f>
        <v>0.18809999999999999</v>
      </c>
      <c r="P15" s="5">
        <f>FD!P15*INST!M15</f>
        <v>0.16740000000000002</v>
      </c>
      <c r="Q15" s="5">
        <f>FD!Q15*INST!N15</f>
        <v>0.156</v>
      </c>
      <c r="R15" s="5">
        <f>FD!R15*INST!O15</f>
        <v>0.15079999999999999</v>
      </c>
      <c r="S15" s="5">
        <f>FD!S15*INST!P15</f>
        <v>0.15079999999999999</v>
      </c>
      <c r="T15" s="5">
        <f>FD!T15*INST!Q15</f>
        <v>0.16500000000000001</v>
      </c>
      <c r="U15" s="5">
        <f>FD!U15*INST!R15</f>
        <v>0.1595</v>
      </c>
      <c r="V15" s="5">
        <f>FD!V15*INST!S15</f>
        <v>0.16200000000000001</v>
      </c>
      <c r="W15" s="5">
        <f>FD!W15*INST!T15</f>
        <v>0.156</v>
      </c>
      <c r="X15" s="5">
        <f>FD!X15*INST!U15</f>
        <v>0.15079999999999999</v>
      </c>
      <c r="Y15" s="5">
        <f>FD!Y15*INST!V15</f>
        <v>0.14879999999999999</v>
      </c>
      <c r="Z15" s="5">
        <f>FD!Z15*INST!W15</f>
        <v>0.14699999999999999</v>
      </c>
      <c r="AB15" s="6">
        <f t="shared" si="0"/>
        <v>0.16044545454545453</v>
      </c>
    </row>
    <row r="16" spans="1:28" x14ac:dyDescent="0.3">
      <c r="A16" s="6" t="s">
        <v>33</v>
      </c>
      <c r="B16" s="6"/>
      <c r="C16" s="3" t="s">
        <v>34</v>
      </c>
      <c r="D16" s="6" t="s">
        <v>276</v>
      </c>
      <c r="E16" s="5">
        <f>FD!E16*INST!B16</f>
        <v>0.18629999999999999</v>
      </c>
      <c r="F16" s="5">
        <f>FD!F16*INST!C16</f>
        <v>0.17680000000000001</v>
      </c>
      <c r="G16" s="5">
        <f>FD!G16*INST!D16</f>
        <v>0.18459999999999999</v>
      </c>
      <c r="H16" s="5">
        <f>FD!H16*INST!E16</f>
        <v>0.19320000000000001</v>
      </c>
      <c r="I16" s="5">
        <f>FD!I16*INST!F16</f>
        <v>0.18629999999999999</v>
      </c>
      <c r="J16" s="5">
        <f>FD!J16*INST!G16</f>
        <v>0.17420000000000002</v>
      </c>
      <c r="K16" s="5">
        <f>FD!K16*INST!H16</f>
        <v>0.18629999999999999</v>
      </c>
      <c r="L16" s="5">
        <f>FD!L16*INST!I16</f>
        <v>0.1943</v>
      </c>
      <c r="M16" s="5">
        <f>FD!M16*INST!J16</f>
        <v>0.20770000000000002</v>
      </c>
      <c r="N16" s="5">
        <f>FD!N16*INST!K16</f>
        <v>0.22110000000000002</v>
      </c>
      <c r="O16" s="5">
        <f>FD!O16*INST!L16</f>
        <v>0.23099999999999998</v>
      </c>
      <c r="P16" s="5">
        <f>FD!P16*INST!M16</f>
        <v>0.22110000000000002</v>
      </c>
      <c r="Q16" s="5">
        <f>FD!Q16*INST!N16</f>
        <v>0.2046</v>
      </c>
      <c r="R16" s="5">
        <f>FD!R16*INST!O16</f>
        <v>0.20130000000000001</v>
      </c>
      <c r="S16" s="5">
        <f>FD!S16*INST!P16</f>
        <v>0.20130000000000001</v>
      </c>
      <c r="T16" s="5">
        <f>FD!T16*INST!Q16</f>
        <v>0.2074</v>
      </c>
      <c r="U16" s="5">
        <f>FD!U16*INST!R16</f>
        <v>0.2135</v>
      </c>
      <c r="V16" s="5">
        <f>FD!V16*INST!S16</f>
        <v>0.21</v>
      </c>
      <c r="W16" s="5">
        <f>FD!W16*INST!T16</f>
        <v>0.20649999999999999</v>
      </c>
      <c r="X16" s="5">
        <f>FD!X16*INST!U16</f>
        <v>0.21</v>
      </c>
      <c r="Y16" s="5">
        <f>FD!Y16*INST!V16</f>
        <v>0.21</v>
      </c>
      <c r="Z16" s="5">
        <f>FD!Z16*INST!W16</f>
        <v>0.2135</v>
      </c>
      <c r="AB16" s="6">
        <f t="shared" si="0"/>
        <v>0.20186363636363633</v>
      </c>
    </row>
    <row r="17" spans="1:28" x14ac:dyDescent="0.3">
      <c r="A17" s="6" t="s">
        <v>35</v>
      </c>
      <c r="B17" s="6"/>
      <c r="C17" s="3" t="s">
        <v>36</v>
      </c>
      <c r="D17" s="6" t="s">
        <v>276</v>
      </c>
      <c r="E17" s="5">
        <f>FD!E17*INST!B17</f>
        <v>3.4099999999999998E-2</v>
      </c>
      <c r="F17" s="5">
        <f>FD!F17*INST!C17</f>
        <v>0.03</v>
      </c>
      <c r="G17" s="5">
        <f>FD!G17*INST!D17</f>
        <v>3.3000000000000002E-2</v>
      </c>
      <c r="H17" s="5">
        <f>FD!H17*INST!E17</f>
        <v>0.03</v>
      </c>
      <c r="I17" s="5">
        <f>FD!I17*INST!F17</f>
        <v>2.8000000000000004E-2</v>
      </c>
      <c r="J17" s="5">
        <f>FD!J17*INST!G17</f>
        <v>3.0800000000000004E-2</v>
      </c>
      <c r="K17" s="5">
        <f>FD!K17*INST!H17</f>
        <v>0.03</v>
      </c>
      <c r="L17" s="5">
        <f>FD!L17*INST!I17</f>
        <v>3.1E-2</v>
      </c>
      <c r="M17" s="5">
        <f>FD!M17*INST!J17</f>
        <v>2.7899999999999998E-2</v>
      </c>
      <c r="N17" s="5">
        <f>FD!N17*INST!K17</f>
        <v>3.4099999999999998E-2</v>
      </c>
      <c r="O17" s="5">
        <f>FD!O17*INST!L17</f>
        <v>2.7899999999999998E-2</v>
      </c>
      <c r="P17" s="5">
        <f>FD!P17*INST!M17</f>
        <v>3.4000000000000002E-2</v>
      </c>
      <c r="Q17" s="5">
        <f>FD!Q17*INST!N17</f>
        <v>4.1000000000000002E-2</v>
      </c>
      <c r="R17" s="5">
        <f>FD!R17*INST!O17</f>
        <v>4.4000000000000004E-2</v>
      </c>
      <c r="S17" s="5">
        <f>FD!S17*INST!P17</f>
        <v>4.6800000000000001E-2</v>
      </c>
      <c r="T17" s="5">
        <f>FD!T17*INST!Q17</f>
        <v>4.2000000000000003E-2</v>
      </c>
      <c r="U17" s="5">
        <f>FD!U17*INST!R17</f>
        <v>5.0599999999999999E-2</v>
      </c>
      <c r="V17" s="5">
        <f>FD!V17*INST!S17</f>
        <v>5.28E-2</v>
      </c>
      <c r="W17" s="5">
        <f>FD!W17*INST!T17</f>
        <v>5.7200000000000001E-2</v>
      </c>
      <c r="X17" s="5">
        <f>FD!X17*INST!U17</f>
        <v>5.28E-2</v>
      </c>
      <c r="Y17" s="5">
        <f>FD!Y17*INST!V17</f>
        <v>5.9800000000000006E-2</v>
      </c>
      <c r="Z17" s="5">
        <f>FD!Z17*INST!W17</f>
        <v>5.2000000000000005E-2</v>
      </c>
      <c r="AB17" s="6">
        <f t="shared" si="0"/>
        <v>3.9536363636363633E-2</v>
      </c>
    </row>
    <row r="18" spans="1:28" x14ac:dyDescent="0.3">
      <c r="A18" s="6" t="s">
        <v>37</v>
      </c>
      <c r="B18" s="6"/>
      <c r="C18" s="3" t="s">
        <v>38</v>
      </c>
      <c r="D18" s="6" t="s">
        <v>276</v>
      </c>
      <c r="E18" s="5">
        <f>FD!E18*INST!B18</f>
        <v>6.9599999999999995E-2</v>
      </c>
      <c r="F18" s="5">
        <f>FD!F18*INST!C18</f>
        <v>4.6399999999999997E-2</v>
      </c>
      <c r="G18" s="5">
        <f>FD!G18*INST!D18</f>
        <v>5.3000000000000005E-2</v>
      </c>
      <c r="H18" s="5">
        <f>FD!H18*INST!E18</f>
        <v>4.9500000000000002E-2</v>
      </c>
      <c r="I18" s="5">
        <f>FD!I18*INST!F18</f>
        <v>6.8399999999999989E-2</v>
      </c>
      <c r="J18" s="5">
        <f>FD!J18*INST!G18</f>
        <v>7.0799999999999988E-2</v>
      </c>
      <c r="K18" s="5">
        <f>FD!K18*INST!H18</f>
        <v>7.6700000000000004E-2</v>
      </c>
      <c r="L18" s="5">
        <f>FD!L18*INST!I18</f>
        <v>7.8E-2</v>
      </c>
      <c r="M18" s="5">
        <f>FD!M18*INST!J18</f>
        <v>6.2699999999999992E-2</v>
      </c>
      <c r="N18" s="5">
        <f>FD!N18*INST!K18</f>
        <v>6.6000000000000003E-2</v>
      </c>
      <c r="O18" s="5">
        <f>FD!O18*INST!L18</f>
        <v>6.3600000000000004E-2</v>
      </c>
      <c r="P18" s="5">
        <f>FD!P18*INST!M18</f>
        <v>6.4799999999999996E-2</v>
      </c>
      <c r="Q18" s="5">
        <f>FD!Q18*INST!N18</f>
        <v>6.1199999999999997E-2</v>
      </c>
      <c r="R18" s="5">
        <f>FD!R18*INST!O18</f>
        <v>6.6299999999999998E-2</v>
      </c>
      <c r="S18" s="5">
        <f>FD!S18*INST!P18</f>
        <v>6.3700000000000007E-2</v>
      </c>
      <c r="T18" s="5">
        <f>FD!T18*INST!Q18</f>
        <v>6.8600000000000008E-2</v>
      </c>
      <c r="U18" s="5">
        <f>FD!U18*INST!R18</f>
        <v>7.1999999999999995E-2</v>
      </c>
      <c r="V18" s="5">
        <f>FD!V18*INST!S18</f>
        <v>6.9000000000000006E-2</v>
      </c>
      <c r="W18" s="5">
        <f>FD!W18*INST!T18</f>
        <v>6.1600000000000009E-2</v>
      </c>
      <c r="X18" s="5">
        <f>FD!X18*INST!U18</f>
        <v>5.9800000000000006E-2</v>
      </c>
      <c r="Y18" s="5">
        <f>FD!Y18*INST!V18</f>
        <v>5.7200000000000001E-2</v>
      </c>
      <c r="Z18" s="5">
        <f>FD!Z18*INST!W18</f>
        <v>5.6000000000000008E-2</v>
      </c>
      <c r="AB18" s="6">
        <f t="shared" si="0"/>
        <v>6.3859090909090907E-2</v>
      </c>
    </row>
    <row r="19" spans="1:28" x14ac:dyDescent="0.3">
      <c r="A19" s="6" t="s">
        <v>39</v>
      </c>
      <c r="B19" s="6"/>
      <c r="C19" s="3" t="s">
        <v>40</v>
      </c>
      <c r="D19" s="6" t="s">
        <v>276</v>
      </c>
      <c r="E19" s="5">
        <f>FD!E19*INST!B19</f>
        <v>6.3E-2</v>
      </c>
      <c r="F19" s="5">
        <f>FD!F19*INST!C19</f>
        <v>6.6300000000000012E-2</v>
      </c>
      <c r="G19" s="5">
        <f>FD!G19*INST!D19</f>
        <v>5.1000000000000004E-2</v>
      </c>
      <c r="H19" s="5">
        <f>FD!H19*INST!E19</f>
        <v>5.9400000000000001E-2</v>
      </c>
      <c r="I19" s="5">
        <f>FD!I19*INST!F19</f>
        <v>6.6000000000000003E-2</v>
      </c>
      <c r="J19" s="5">
        <f>FD!J19*INST!G19</f>
        <v>7.7899999999999997E-2</v>
      </c>
      <c r="K19" s="5">
        <f>FD!K19*INST!H19</f>
        <v>7.6000000000000012E-2</v>
      </c>
      <c r="L19" s="5">
        <f>FD!L19*INST!I19</f>
        <v>9.5000000000000001E-2</v>
      </c>
      <c r="M19" s="5">
        <f>FD!M19*INST!J19</f>
        <v>0.1053</v>
      </c>
      <c r="N19" s="5">
        <f>FD!N19*INST!K19</f>
        <v>8.5800000000000001E-2</v>
      </c>
      <c r="O19" s="5">
        <f>FD!O19*INST!L19</f>
        <v>7.8000000000000014E-2</v>
      </c>
      <c r="P19" s="5">
        <f>FD!P19*INST!M19</f>
        <v>7.4099999999999999E-2</v>
      </c>
      <c r="Q19" s="5">
        <f>FD!Q19*INST!N19</f>
        <v>8.1900000000000001E-2</v>
      </c>
      <c r="R19" s="5">
        <f>FD!R19*INST!O19</f>
        <v>8.3600000000000008E-2</v>
      </c>
      <c r="S19" s="5">
        <f>FD!S19*INST!P19</f>
        <v>8.14E-2</v>
      </c>
      <c r="T19" s="5">
        <f>FD!T19*INST!Q19</f>
        <v>8.5800000000000001E-2</v>
      </c>
      <c r="U19" s="5">
        <f>FD!U19*INST!R19</f>
        <v>8.5800000000000001E-2</v>
      </c>
      <c r="V19" s="5">
        <f>FD!V19*INST!S19</f>
        <v>8.5800000000000001E-2</v>
      </c>
      <c r="W19" s="5">
        <f>FD!W19*INST!T19</f>
        <v>9.8900000000000002E-2</v>
      </c>
      <c r="X19" s="5">
        <f>FD!X19*INST!U19</f>
        <v>9.8900000000000002E-2</v>
      </c>
      <c r="Y19" s="5">
        <f>FD!Y19*INST!V19</f>
        <v>9.2399999999999996E-2</v>
      </c>
      <c r="Z19" s="5">
        <f>FD!Z19*INST!W19</f>
        <v>9.4600000000000004E-2</v>
      </c>
      <c r="AB19" s="6">
        <f t="shared" si="0"/>
        <v>8.1222727272727294E-2</v>
      </c>
    </row>
    <row r="20" spans="1:28" x14ac:dyDescent="0.3">
      <c r="A20" s="6" t="s">
        <v>41</v>
      </c>
      <c r="B20" s="6"/>
      <c r="C20" s="3" t="s">
        <v>42</v>
      </c>
      <c r="D20" s="6" t="s">
        <v>276</v>
      </c>
      <c r="E20" s="5">
        <f>FD!E20*INST!B20</f>
        <v>0.1457</v>
      </c>
      <c r="F20" s="5">
        <f>FD!F20*INST!C20</f>
        <v>0.1008</v>
      </c>
      <c r="G20" s="5">
        <f>FD!G20*INST!D20</f>
        <v>0.11699999999999999</v>
      </c>
      <c r="H20" s="5">
        <f>FD!H20*INST!E20</f>
        <v>0.12090000000000001</v>
      </c>
      <c r="I20" s="5">
        <f>FD!I20*INST!F20</f>
        <v>0.1368</v>
      </c>
      <c r="J20" s="5">
        <f>FD!J20*INST!G20</f>
        <v>0.14430000000000001</v>
      </c>
      <c r="K20" s="5">
        <f>FD!K20*INST!H20</f>
        <v>0.1512</v>
      </c>
      <c r="L20" s="5">
        <f>FD!L20*INST!I20</f>
        <v>0.15539999999999998</v>
      </c>
      <c r="M20" s="5">
        <f>FD!M20*INST!J20</f>
        <v>0.1376</v>
      </c>
      <c r="N20" s="5">
        <f>FD!N20*INST!K20</f>
        <v>0.1144</v>
      </c>
      <c r="O20" s="5">
        <f>FD!O20*INST!L20</f>
        <v>9.8699999999999996E-2</v>
      </c>
      <c r="P20" s="5">
        <f>FD!P20*INST!M20</f>
        <v>9.2000000000000012E-2</v>
      </c>
      <c r="Q20" s="5">
        <f>FD!Q20*INST!N20</f>
        <v>9.0000000000000011E-2</v>
      </c>
      <c r="R20" s="5">
        <f>FD!R20*INST!O20</f>
        <v>0.105</v>
      </c>
      <c r="S20" s="5">
        <f>FD!S20*INST!P20</f>
        <v>9.8699999999999996E-2</v>
      </c>
      <c r="T20" s="5">
        <f>FD!T20*INST!Q20</f>
        <v>0.10079999999999999</v>
      </c>
      <c r="U20" s="5">
        <f>FD!U20*INST!R20</f>
        <v>0.10289999999999999</v>
      </c>
      <c r="V20" s="5">
        <f>FD!V20*INST!S20</f>
        <v>0.10289999999999999</v>
      </c>
      <c r="W20" s="5">
        <f>FD!W20*INST!T20</f>
        <v>0.10779999999999999</v>
      </c>
      <c r="X20" s="5">
        <f>FD!X20*INST!U20</f>
        <v>0.10339999999999999</v>
      </c>
      <c r="Y20" s="5">
        <f>FD!Y20*INST!V20</f>
        <v>0.10339999999999999</v>
      </c>
      <c r="Z20" s="5">
        <f>FD!Z20*INST!W20</f>
        <v>0.1012</v>
      </c>
      <c r="AB20" s="6">
        <f t="shared" si="0"/>
        <v>0.11504090909090911</v>
      </c>
    </row>
    <row r="21" spans="1:28" x14ac:dyDescent="0.3">
      <c r="A21" s="6" t="s">
        <v>43</v>
      </c>
      <c r="B21" s="6"/>
      <c r="C21" s="3" t="s">
        <v>44</v>
      </c>
      <c r="D21" s="6" t="s">
        <v>276</v>
      </c>
      <c r="E21" s="5">
        <f>FD!E21*INST!B21</f>
        <v>9.2999999999999999E-2</v>
      </c>
      <c r="F21" s="5">
        <f>FD!F21*INST!C21</f>
        <v>9.1799999999999993E-2</v>
      </c>
      <c r="G21" s="5">
        <f>FD!G21*INST!D21</f>
        <v>7.2000000000000008E-2</v>
      </c>
      <c r="H21" s="5">
        <f>FD!H21*INST!E21</f>
        <v>6.4400000000000013E-2</v>
      </c>
      <c r="I21" s="5">
        <f>FD!I21*INST!F21</f>
        <v>6.7500000000000004E-2</v>
      </c>
      <c r="J21" s="5">
        <f>FD!J21*INST!G21</f>
        <v>8.6700000000000013E-2</v>
      </c>
      <c r="K21" s="5">
        <f>FD!K21*INST!H21</f>
        <v>8.1600000000000006E-2</v>
      </c>
      <c r="L21" s="5">
        <f>FD!L21*INST!I21</f>
        <v>9.5399999999999999E-2</v>
      </c>
      <c r="M21" s="5">
        <f>FD!M21*INST!J21</f>
        <v>9.3600000000000003E-2</v>
      </c>
      <c r="N21" s="5">
        <f>FD!N21*INST!K21</f>
        <v>0.115</v>
      </c>
      <c r="O21" s="5">
        <f>FD!O21*INST!L21</f>
        <v>0.10920000000000001</v>
      </c>
      <c r="P21" s="5">
        <f>FD!P21*INST!M21</f>
        <v>0.10400000000000001</v>
      </c>
      <c r="Q21" s="5">
        <f>FD!Q21*INST!N21</f>
        <v>0.10920000000000001</v>
      </c>
      <c r="R21" s="5">
        <f>FD!R21*INST!O21</f>
        <v>9.3600000000000003E-2</v>
      </c>
      <c r="S21" s="5">
        <f>FD!S21*INST!P21</f>
        <v>9.3600000000000003E-2</v>
      </c>
      <c r="T21" s="5">
        <f>FD!T21*INST!Q21</f>
        <v>9.3600000000000003E-2</v>
      </c>
      <c r="U21" s="5">
        <f>FD!U21*INST!R21</f>
        <v>9.8799999999999999E-2</v>
      </c>
      <c r="V21" s="5">
        <f>FD!V21*INST!S21</f>
        <v>0.09</v>
      </c>
      <c r="W21" s="5">
        <f>FD!W21*INST!T21</f>
        <v>9.1799999999999993E-2</v>
      </c>
      <c r="X21" s="5">
        <f>FD!X21*INST!U21</f>
        <v>9.1799999999999993E-2</v>
      </c>
      <c r="Y21" s="5">
        <f>FD!Y21*INST!V21</f>
        <v>9.3600000000000003E-2</v>
      </c>
      <c r="Z21" s="5">
        <f>FD!Z21*INST!W21</f>
        <v>9.3600000000000003E-2</v>
      </c>
      <c r="AB21" s="6">
        <f t="shared" si="0"/>
        <v>9.1990909090909068E-2</v>
      </c>
    </row>
    <row r="22" spans="1:28" x14ac:dyDescent="0.3">
      <c r="A22" s="6" t="s">
        <v>45</v>
      </c>
      <c r="B22" s="6"/>
      <c r="C22" s="3" t="s">
        <v>46</v>
      </c>
      <c r="D22" s="6" t="s">
        <v>276</v>
      </c>
      <c r="E22" s="5">
        <f>FD!E22*INST!B22</f>
        <v>0.25900000000000001</v>
      </c>
      <c r="F22" s="5">
        <f>FD!F22*INST!C22</f>
        <v>0.1767</v>
      </c>
      <c r="G22" s="5">
        <f>FD!G22*INST!D22</f>
        <v>0.183</v>
      </c>
      <c r="H22" s="5">
        <f>FD!H22*INST!E22</f>
        <v>0.18909999999999999</v>
      </c>
      <c r="I22" s="5">
        <f>FD!I22*INST!F22</f>
        <v>0.18909999999999999</v>
      </c>
      <c r="J22" s="5">
        <f>FD!J22*INST!G22</f>
        <v>0.183</v>
      </c>
      <c r="K22" s="5">
        <f>FD!K22*INST!H22</f>
        <v>0.18</v>
      </c>
      <c r="L22" s="5">
        <f>FD!L22*INST!I22</f>
        <v>0.19800000000000001</v>
      </c>
      <c r="M22" s="5">
        <f>FD!M22*INST!J22</f>
        <v>0.186</v>
      </c>
      <c r="N22" s="5">
        <f>FD!N22*INST!K22</f>
        <v>0.186</v>
      </c>
      <c r="O22" s="5">
        <f>FD!O22*INST!L22</f>
        <v>0.192</v>
      </c>
      <c r="P22" s="5">
        <f>FD!P22*INST!M22</f>
        <v>0.192</v>
      </c>
      <c r="Q22" s="5">
        <f>FD!Q22*INST!N22</f>
        <v>0.20400000000000001</v>
      </c>
      <c r="R22" s="5">
        <f>FD!R22*INST!O22</f>
        <v>0.20649999999999999</v>
      </c>
      <c r="S22" s="5">
        <f>FD!S22*INST!P22</f>
        <v>0.20649999999999999</v>
      </c>
      <c r="T22" s="5">
        <f>FD!T22*INST!Q22</f>
        <v>0.21959999999999999</v>
      </c>
      <c r="U22" s="5">
        <f>FD!U22*INST!R22</f>
        <v>0.217</v>
      </c>
      <c r="V22" s="5">
        <f>FD!V22*INST!S22</f>
        <v>0.216</v>
      </c>
      <c r="W22" s="5">
        <f>FD!W22*INST!T22</f>
        <v>0.20299999999999999</v>
      </c>
      <c r="X22" s="5">
        <f>FD!X22*INST!U22</f>
        <v>0.22319999999999998</v>
      </c>
      <c r="Y22" s="5">
        <f>FD!Y22*INST!V22</f>
        <v>0.23180000000000001</v>
      </c>
      <c r="Z22" s="5">
        <f>FD!Z22*INST!W22</f>
        <v>0.22799999999999998</v>
      </c>
      <c r="AB22" s="6">
        <f t="shared" si="0"/>
        <v>0.2031590909090909</v>
      </c>
    </row>
    <row r="23" spans="1:28" x14ac:dyDescent="0.3">
      <c r="A23" s="6" t="s">
        <v>47</v>
      </c>
      <c r="B23" s="6"/>
      <c r="C23" s="3" t="s">
        <v>48</v>
      </c>
      <c r="D23" s="6" t="s">
        <v>276</v>
      </c>
      <c r="E23" s="5">
        <f>FD!E23*INST!B23</f>
        <v>4.41E-2</v>
      </c>
      <c r="F23" s="5">
        <f>FD!F23*INST!C23</f>
        <v>4.41E-2</v>
      </c>
      <c r="G23" s="5">
        <f>FD!G23*INST!D23</f>
        <v>4.5899999999999996E-2</v>
      </c>
      <c r="H23" s="5">
        <f>FD!H23*INST!E23</f>
        <v>4.4999999999999998E-2</v>
      </c>
      <c r="I23" s="5">
        <f>FD!I23*INST!F23</f>
        <v>4.4999999999999998E-2</v>
      </c>
      <c r="J23" s="5">
        <f>FD!J23*INST!G23</f>
        <v>4.41E-2</v>
      </c>
      <c r="K23" s="5">
        <f>FD!K23*INST!H23</f>
        <v>4.9000000000000002E-2</v>
      </c>
      <c r="L23" s="5">
        <f>FD!L23*INST!I23</f>
        <v>0.05</v>
      </c>
      <c r="M23" s="5">
        <f>FD!M23*INST!J23</f>
        <v>4.7E-2</v>
      </c>
      <c r="N23" s="5">
        <f>FD!N23*INST!K23</f>
        <v>4.6000000000000006E-2</v>
      </c>
      <c r="O23" s="5">
        <f>FD!O23*INST!L23</f>
        <v>4.6000000000000006E-2</v>
      </c>
      <c r="P23" s="5">
        <f>FD!P23*INST!M23</f>
        <v>4.4000000000000004E-2</v>
      </c>
      <c r="Q23" s="5">
        <f>FD!Q23*INST!N23</f>
        <v>4.41E-2</v>
      </c>
      <c r="R23" s="5">
        <f>FD!R23*INST!O23</f>
        <v>4.9000000000000002E-2</v>
      </c>
      <c r="S23" s="5">
        <f>FD!S23*INST!P23</f>
        <v>4.41E-2</v>
      </c>
      <c r="T23" s="5">
        <f>FD!T23*INST!Q23</f>
        <v>4.3199999999999995E-2</v>
      </c>
      <c r="U23" s="5">
        <f>FD!U23*INST!R23</f>
        <v>4.9000000000000002E-2</v>
      </c>
      <c r="V23" s="5">
        <f>FD!V23*INST!S23</f>
        <v>5.3899999999999997E-2</v>
      </c>
      <c r="W23" s="5">
        <f>FD!W23*INST!T23</f>
        <v>5.8799999999999998E-2</v>
      </c>
      <c r="X23" s="5">
        <f>FD!X23*INST!U23</f>
        <v>5.6100000000000004E-2</v>
      </c>
      <c r="Y23" s="5">
        <f>FD!Y23*INST!V23</f>
        <v>5.6100000000000004E-2</v>
      </c>
      <c r="Z23" s="5">
        <f>FD!Z23*INST!W23</f>
        <v>6.3600000000000004E-2</v>
      </c>
      <c r="AB23" s="6">
        <f t="shared" si="0"/>
        <v>4.855000000000001E-2</v>
      </c>
    </row>
    <row r="24" spans="1:28" x14ac:dyDescent="0.3">
      <c r="A24" s="6" t="s">
        <v>49</v>
      </c>
      <c r="B24" s="6"/>
      <c r="C24" s="3" t="s">
        <v>50</v>
      </c>
      <c r="D24" s="6" t="s">
        <v>276</v>
      </c>
      <c r="E24" s="5">
        <f>FD!E24*INST!B24</f>
        <v>0.11599999999999999</v>
      </c>
      <c r="F24" s="5">
        <f>FD!F24*INST!C24</f>
        <v>0.10200000000000001</v>
      </c>
      <c r="G24" s="5">
        <f>FD!G24*INST!D24</f>
        <v>0.12539999999999998</v>
      </c>
      <c r="H24" s="5">
        <f>FD!H24*INST!E24</f>
        <v>0.13750000000000001</v>
      </c>
      <c r="I24" s="5">
        <f>FD!I24*INST!F24</f>
        <v>0.1144</v>
      </c>
      <c r="J24" s="5">
        <f>FD!J24*INST!G24</f>
        <v>0.1275</v>
      </c>
      <c r="K24" s="5">
        <f>FD!K24*INST!H24</f>
        <v>0.12479999999999999</v>
      </c>
      <c r="L24" s="5">
        <f>FD!L24*INST!I24</f>
        <v>0.12239999999999999</v>
      </c>
      <c r="M24" s="5">
        <f>FD!M24*INST!J24</f>
        <v>0.12239999999999999</v>
      </c>
      <c r="N24" s="5">
        <f>FD!N24*INST!K24</f>
        <v>0.12420000000000002</v>
      </c>
      <c r="O24" s="5">
        <f>FD!O24*INST!L24</f>
        <v>0.13520000000000001</v>
      </c>
      <c r="P24" s="5">
        <f>FD!P24*INST!M24</f>
        <v>0.13500000000000001</v>
      </c>
      <c r="Q24" s="5">
        <f>FD!Q24*INST!N24</f>
        <v>0.1176</v>
      </c>
      <c r="R24" s="5">
        <f>FD!R24*INST!O24</f>
        <v>0.125</v>
      </c>
      <c r="S24" s="5">
        <f>FD!S24*INST!P24</f>
        <v>0.125</v>
      </c>
      <c r="T24" s="5">
        <f>FD!T24*INST!Q24</f>
        <v>0.14249999999999999</v>
      </c>
      <c r="U24" s="5">
        <f>FD!U24*INST!R24</f>
        <v>0.13200000000000001</v>
      </c>
      <c r="V24" s="5">
        <f>FD!V24*INST!S24</f>
        <v>0.13250000000000001</v>
      </c>
      <c r="W24" s="5">
        <f>FD!W24*INST!T24</f>
        <v>0.13250000000000001</v>
      </c>
      <c r="X24" s="5">
        <f>FD!X24*INST!U24</f>
        <v>0.13250000000000001</v>
      </c>
      <c r="Y24" s="5">
        <f>FD!Y24*INST!V24</f>
        <v>0.13</v>
      </c>
      <c r="Z24" s="5">
        <f>FD!Z24*INST!W24</f>
        <v>0.1326</v>
      </c>
      <c r="AB24" s="6">
        <f t="shared" si="0"/>
        <v>0.12677272727272723</v>
      </c>
    </row>
    <row r="25" spans="1:28" x14ac:dyDescent="0.3">
      <c r="A25" s="6" t="s">
        <v>51</v>
      </c>
      <c r="B25" s="6"/>
      <c r="C25" s="3" t="s">
        <v>52</v>
      </c>
      <c r="D25" s="6" t="s">
        <v>276</v>
      </c>
      <c r="E25" s="5">
        <f>FD!E25*INST!B25</f>
        <v>5.3099999999999994E-2</v>
      </c>
      <c r="F25" s="5">
        <f>FD!F25*INST!C25</f>
        <v>3.9899999999999998E-2</v>
      </c>
      <c r="G25" s="5">
        <f>FD!G25*INST!D25</f>
        <v>4.5599999999999995E-2</v>
      </c>
      <c r="H25" s="5">
        <f>FD!H25*INST!E25</f>
        <v>5.1299999999999991E-2</v>
      </c>
      <c r="I25" s="5">
        <f>FD!I25*INST!F25</f>
        <v>5.1299999999999991E-2</v>
      </c>
      <c r="J25" s="5">
        <f>FD!J25*INST!G25</f>
        <v>5.1299999999999991E-2</v>
      </c>
      <c r="K25" s="5">
        <f>FD!K25*INST!H25</f>
        <v>5.6999999999999995E-2</v>
      </c>
      <c r="L25" s="5">
        <f>FD!L25*INST!I25</f>
        <v>6.6000000000000003E-2</v>
      </c>
      <c r="M25" s="5">
        <f>FD!M25*INST!J25</f>
        <v>6.4899999999999999E-2</v>
      </c>
      <c r="N25" s="5">
        <f>FD!N25*INST!K25</f>
        <v>6.6000000000000003E-2</v>
      </c>
      <c r="O25" s="5">
        <f>FD!O25*INST!L25</f>
        <v>5.8999999999999997E-2</v>
      </c>
      <c r="P25" s="5">
        <f>FD!P25*INST!M25</f>
        <v>5.8999999999999997E-2</v>
      </c>
      <c r="Q25" s="5">
        <f>FD!Q25*INST!N25</f>
        <v>6.2699999999999992E-2</v>
      </c>
      <c r="R25" s="5">
        <f>FD!R25*INST!O25</f>
        <v>5.6000000000000008E-2</v>
      </c>
      <c r="S25" s="5">
        <f>FD!S25*INST!P25</f>
        <v>5.6000000000000008E-2</v>
      </c>
      <c r="T25" s="5">
        <f>FD!T25*INST!Q25</f>
        <v>5.6999999999999995E-2</v>
      </c>
      <c r="U25" s="5">
        <f>FD!U25*INST!R25</f>
        <v>5.6999999999999995E-2</v>
      </c>
      <c r="V25" s="5">
        <f>FD!V25*INST!S25</f>
        <v>4.9500000000000002E-2</v>
      </c>
      <c r="W25" s="5">
        <f>FD!W25*INST!T25</f>
        <v>4.8600000000000004E-2</v>
      </c>
      <c r="X25" s="5">
        <f>FD!X25*INST!U25</f>
        <v>4.7699999999999999E-2</v>
      </c>
      <c r="Y25" s="5">
        <f>FD!Y25*INST!V25</f>
        <v>4.6800000000000001E-2</v>
      </c>
      <c r="Z25" s="5">
        <f>FD!Z25*INST!W25</f>
        <v>5.2000000000000005E-2</v>
      </c>
      <c r="AB25" s="6">
        <f t="shared" si="0"/>
        <v>5.4440909090909088E-2</v>
      </c>
    </row>
    <row r="26" spans="1:28" x14ac:dyDescent="0.3">
      <c r="A26" s="6" t="s">
        <v>53</v>
      </c>
      <c r="B26" s="6"/>
      <c r="C26" s="3" t="s">
        <v>54</v>
      </c>
      <c r="D26" s="6" t="s">
        <v>276</v>
      </c>
      <c r="E26" s="5">
        <f>FD!E26*INST!B26</f>
        <v>0.11220000000000001</v>
      </c>
      <c r="F26" s="5">
        <f>FD!F26*INST!C26</f>
        <v>0.11390000000000002</v>
      </c>
      <c r="G26" s="5">
        <f>FD!G26*INST!D26</f>
        <v>0.1037</v>
      </c>
      <c r="H26" s="5">
        <f>FD!H26*INST!E26</f>
        <v>0.10710000000000001</v>
      </c>
      <c r="I26" s="5">
        <f>FD!I26*INST!F26</f>
        <v>0.10710000000000001</v>
      </c>
      <c r="J26" s="5">
        <f>FD!J26*INST!G26</f>
        <v>0.10540000000000001</v>
      </c>
      <c r="K26" s="5">
        <f>FD!K26*INST!H26</f>
        <v>0.10540000000000001</v>
      </c>
      <c r="L26" s="5">
        <f>FD!L26*INST!I26</f>
        <v>0.11159999999999999</v>
      </c>
      <c r="M26" s="5">
        <f>FD!M26*INST!J26</f>
        <v>0.1178</v>
      </c>
      <c r="N26" s="5">
        <f>FD!N26*INST!K26</f>
        <v>0.1178</v>
      </c>
      <c r="O26" s="5">
        <f>FD!O26*INST!L26</f>
        <v>0.14300000000000002</v>
      </c>
      <c r="P26" s="5">
        <f>FD!P26*INST!M26</f>
        <v>0.13019999999999998</v>
      </c>
      <c r="Q26" s="5">
        <f>FD!Q26*INST!N26</f>
        <v>0.12759999999999999</v>
      </c>
      <c r="R26" s="5">
        <f>FD!R26*INST!O26</f>
        <v>0.11969999999999999</v>
      </c>
      <c r="S26" s="5">
        <f>FD!S26*INST!P26</f>
        <v>0.13639999999999999</v>
      </c>
      <c r="T26" s="5">
        <f>FD!T26*INST!Q26</f>
        <v>0.1426</v>
      </c>
      <c r="U26" s="5">
        <f>FD!U26*INST!R26</f>
        <v>0.1464</v>
      </c>
      <c r="V26" s="5">
        <f>FD!V26*INST!S26</f>
        <v>0.155</v>
      </c>
      <c r="W26" s="5">
        <f>FD!W26*INST!T26</f>
        <v>0.14749999999999999</v>
      </c>
      <c r="X26" s="5">
        <f>FD!X26*INST!U26</f>
        <v>0.15840000000000001</v>
      </c>
      <c r="Y26" s="5">
        <f>FD!Y26*INST!V26</f>
        <v>0.15840000000000001</v>
      </c>
      <c r="Z26" s="5">
        <f>FD!Z26*INST!W26</f>
        <v>0.14030000000000001</v>
      </c>
      <c r="AB26" s="6">
        <f t="shared" si="0"/>
        <v>0.12761363636363632</v>
      </c>
    </row>
    <row r="27" spans="1:28" x14ac:dyDescent="0.3">
      <c r="A27" s="6" t="s">
        <v>55</v>
      </c>
      <c r="B27" s="6"/>
      <c r="C27" s="3" t="s">
        <v>56</v>
      </c>
      <c r="D27" s="6" t="s">
        <v>276</v>
      </c>
      <c r="E27" s="5">
        <f>FD!E27*INST!B27</f>
        <v>0.15809999999999999</v>
      </c>
      <c r="F27" s="5">
        <f>FD!F27*INST!C27</f>
        <v>0.16800000000000001</v>
      </c>
      <c r="G27" s="5">
        <f>FD!G27*INST!D27</f>
        <v>0.182</v>
      </c>
      <c r="H27" s="5">
        <f>FD!H27*INST!E27</f>
        <v>0.17680000000000001</v>
      </c>
      <c r="I27" s="5">
        <f>FD!I27*INST!F27</f>
        <v>0.17050000000000001</v>
      </c>
      <c r="J27" s="5">
        <f>FD!J27*INST!G27</f>
        <v>0.20900000000000002</v>
      </c>
      <c r="K27" s="5">
        <f>FD!K27*INST!H27</f>
        <v>0.22619999999999998</v>
      </c>
      <c r="L27" s="5">
        <f>FD!L27*INST!I27</f>
        <v>0.25009999999999999</v>
      </c>
      <c r="M27" s="5">
        <f>FD!M27*INST!J27</f>
        <v>0.24189999999999998</v>
      </c>
      <c r="N27" s="5">
        <f>FD!N27*INST!K27</f>
        <v>0.27139999999999997</v>
      </c>
      <c r="O27" s="5">
        <f>FD!O27*INST!L27</f>
        <v>0.25079999999999997</v>
      </c>
      <c r="P27" s="5">
        <f>FD!P27*INST!M27</f>
        <v>0.1925</v>
      </c>
      <c r="Q27" s="5">
        <f>FD!Q27*INST!N27</f>
        <v>0.18700000000000003</v>
      </c>
      <c r="R27" s="5">
        <f>FD!R27*INST!O27</f>
        <v>0.17280000000000001</v>
      </c>
      <c r="S27" s="5">
        <f>FD!S27*INST!P27</f>
        <v>0.21840000000000004</v>
      </c>
      <c r="T27" s="5">
        <f>FD!T27*INST!Q27</f>
        <v>0.2016</v>
      </c>
      <c r="U27" s="5">
        <f>FD!U27*INST!R27</f>
        <v>0.2016</v>
      </c>
      <c r="V27" s="5">
        <f>FD!V27*INST!S27</f>
        <v>0.19980000000000001</v>
      </c>
      <c r="W27" s="5">
        <f>FD!W27*INST!T27</f>
        <v>0.21280000000000002</v>
      </c>
      <c r="X27" s="5">
        <f>FD!X27*INST!U27</f>
        <v>0.19949999999999998</v>
      </c>
      <c r="Y27" s="5">
        <f>FD!Y27*INST!V27</f>
        <v>0.21659999999999999</v>
      </c>
      <c r="Z27" s="5">
        <f>FD!Z27*INST!W27</f>
        <v>0.21280000000000002</v>
      </c>
      <c r="AB27" s="6">
        <f t="shared" si="0"/>
        <v>0.20546363636363632</v>
      </c>
    </row>
    <row r="28" spans="1:28" x14ac:dyDescent="0.3">
      <c r="A28" s="5" t="s">
        <v>57</v>
      </c>
      <c r="C28" s="3" t="s">
        <v>58</v>
      </c>
      <c r="D28" s="6" t="s">
        <v>276</v>
      </c>
      <c r="E28" s="5">
        <f>FD!E28*INST!B28</f>
        <v>9.1000000000000011E-2</v>
      </c>
      <c r="F28" s="5">
        <f>FD!F28*INST!C28</f>
        <v>8.4000000000000005E-2</v>
      </c>
      <c r="G28" s="5">
        <f>FD!G28*INST!D28</f>
        <v>8.6700000000000013E-2</v>
      </c>
      <c r="H28" s="5">
        <f>FD!H28*INST!E28</f>
        <v>7.2800000000000004E-2</v>
      </c>
      <c r="I28" s="5">
        <f>FD!I28*INST!F28</f>
        <v>9.1199999999999989E-2</v>
      </c>
      <c r="J28" s="5">
        <f>FD!J28*INST!G28</f>
        <v>8.8499999999999995E-2</v>
      </c>
      <c r="K28" s="5">
        <f>FD!K28*INST!H28</f>
        <v>9.69E-2</v>
      </c>
      <c r="L28" s="5">
        <f>FD!L28*INST!I28</f>
        <v>0.10439999999999999</v>
      </c>
      <c r="M28" s="5">
        <f>FD!M28*INST!J28</f>
        <v>0.10259999999999998</v>
      </c>
      <c r="N28" s="5">
        <f>FD!N28*INST!K28</f>
        <v>9.1199999999999989E-2</v>
      </c>
      <c r="O28" s="5">
        <f>FD!O28*INST!L28</f>
        <v>9.69E-2</v>
      </c>
      <c r="P28" s="5">
        <f>FD!P28*INST!M28</f>
        <v>0.10640000000000001</v>
      </c>
      <c r="Q28" s="5">
        <f>FD!Q28*INST!N28</f>
        <v>0.10450000000000001</v>
      </c>
      <c r="R28" s="5">
        <f>FD!R28*INST!O28</f>
        <v>0.10450000000000001</v>
      </c>
      <c r="S28" s="5">
        <f>FD!S28*INST!P28</f>
        <v>9.9000000000000005E-2</v>
      </c>
      <c r="T28" s="5">
        <f>FD!T28*INST!Q28</f>
        <v>0.10640000000000001</v>
      </c>
      <c r="U28" s="5">
        <f>FD!U28*INST!R28</f>
        <v>0.10829999999999999</v>
      </c>
      <c r="V28" s="5">
        <f>FD!V28*INST!S28</f>
        <v>0.10450000000000001</v>
      </c>
      <c r="W28" s="5">
        <f>FD!W28*INST!T28</f>
        <v>0.10260000000000001</v>
      </c>
      <c r="X28" s="5">
        <f>FD!X28*INST!U28</f>
        <v>0.10260000000000001</v>
      </c>
      <c r="Y28" s="5">
        <f>FD!Y28*INST!V28</f>
        <v>0.10600000000000001</v>
      </c>
      <c r="Z28" s="5">
        <f>FD!Z28*INST!W28</f>
        <v>0.11200000000000002</v>
      </c>
      <c r="AB28" s="6">
        <f t="shared" si="0"/>
        <v>9.8318181818181832E-2</v>
      </c>
    </row>
  </sheetData>
  <mergeCells count="1">
    <mergeCell ref="Z1:AA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92"/>
  <sheetViews>
    <sheetView tabSelected="1" topLeftCell="E1" workbookViewId="0">
      <selection sqref="A1:X28"/>
    </sheetView>
  </sheetViews>
  <sheetFormatPr defaultColWidth="14.44140625" defaultRowHeight="15" customHeight="1" x14ac:dyDescent="0.3"/>
  <cols>
    <col min="1" max="5" width="8.6640625" customWidth="1"/>
    <col min="6" max="6" width="12.44140625" customWidth="1"/>
    <col min="7" max="25" width="8.6640625" customWidth="1"/>
  </cols>
  <sheetData>
    <row r="1" spans="1:25" ht="14.25" customHeight="1" x14ac:dyDescent="0.3">
      <c r="A1" s="3" t="s">
        <v>279</v>
      </c>
      <c r="B1" s="3" t="s">
        <v>78</v>
      </c>
      <c r="C1" s="3" t="s">
        <v>79</v>
      </c>
      <c r="D1" s="3" t="s">
        <v>80</v>
      </c>
      <c r="E1" s="3" t="s">
        <v>81</v>
      </c>
      <c r="F1" s="3" t="s">
        <v>82</v>
      </c>
      <c r="G1" s="3" t="s">
        <v>83</v>
      </c>
      <c r="H1" s="3" t="s">
        <v>84</v>
      </c>
      <c r="I1" s="3" t="s">
        <v>85</v>
      </c>
      <c r="J1" s="3" t="s">
        <v>86</v>
      </c>
      <c r="K1" s="3" t="s">
        <v>87</v>
      </c>
      <c r="L1" s="3" t="s">
        <v>88</v>
      </c>
      <c r="M1" s="3" t="s">
        <v>89</v>
      </c>
      <c r="N1" s="3" t="s">
        <v>90</v>
      </c>
      <c r="O1" s="3" t="s">
        <v>91</v>
      </c>
      <c r="P1" s="3" t="s">
        <v>92</v>
      </c>
      <c r="Q1" s="3" t="s">
        <v>93</v>
      </c>
      <c r="R1" s="3" t="s">
        <v>94</v>
      </c>
      <c r="S1" s="3" t="s">
        <v>95</v>
      </c>
      <c r="T1" s="3" t="s">
        <v>96</v>
      </c>
      <c r="U1" s="3" t="s">
        <v>97</v>
      </c>
      <c r="V1" s="3" t="s">
        <v>98</v>
      </c>
      <c r="W1" s="29" t="s">
        <v>99</v>
      </c>
      <c r="X1" s="27"/>
      <c r="Y1" s="3" t="s">
        <v>281</v>
      </c>
    </row>
    <row r="2" spans="1:25" ht="14.25" customHeight="1" x14ac:dyDescent="0.3">
      <c r="A2" s="3" t="s">
        <v>4</v>
      </c>
      <c r="B2" s="13">
        <v>73.8</v>
      </c>
      <c r="C2" s="13">
        <v>72.8</v>
      </c>
      <c r="D2" s="13">
        <v>70.8</v>
      </c>
      <c r="E2" s="13">
        <v>65.599999999999994</v>
      </c>
      <c r="F2" s="13">
        <v>62.3</v>
      </c>
      <c r="G2" s="13">
        <v>68.900000000000006</v>
      </c>
      <c r="H2" s="13">
        <v>62.6</v>
      </c>
      <c r="I2" s="13">
        <v>58.9</v>
      </c>
      <c r="J2" s="13">
        <v>55.4</v>
      </c>
      <c r="K2" s="13">
        <v>53</v>
      </c>
      <c r="L2" s="13">
        <v>53.1</v>
      </c>
      <c r="M2" s="13">
        <v>51.7</v>
      </c>
      <c r="N2" s="13">
        <v>49</v>
      </c>
      <c r="O2" s="13">
        <v>46.8</v>
      </c>
      <c r="P2" s="13">
        <v>47.5</v>
      </c>
      <c r="Q2" s="13">
        <v>47.1</v>
      </c>
      <c r="R2" s="13">
        <v>48.1</v>
      </c>
      <c r="S2" s="13">
        <v>52.5</v>
      </c>
      <c r="T2" s="13">
        <v>52.5</v>
      </c>
      <c r="U2" s="13">
        <v>51</v>
      </c>
      <c r="V2" s="13">
        <v>60.1</v>
      </c>
      <c r="W2" s="13">
        <v>52.9</v>
      </c>
      <c r="X2" s="3"/>
      <c r="Y2" s="3">
        <f t="shared" ref="Y2:Y28" si="0">AVERAGE(B2:W2)</f>
        <v>57.109090909090916</v>
      </c>
    </row>
    <row r="3" spans="1:25" ht="14.25" customHeight="1" x14ac:dyDescent="0.3">
      <c r="A3" s="3" t="s">
        <v>7</v>
      </c>
      <c r="B3" s="13">
        <v>60.2</v>
      </c>
      <c r="C3" s="13">
        <v>55.9</v>
      </c>
      <c r="D3" s="13">
        <v>54.4</v>
      </c>
      <c r="E3" s="13">
        <v>52.6</v>
      </c>
      <c r="F3" s="13">
        <v>52</v>
      </c>
      <c r="G3" s="13">
        <v>50.6</v>
      </c>
      <c r="H3" s="13">
        <v>48.6</v>
      </c>
      <c r="I3" s="13">
        <v>47.2</v>
      </c>
      <c r="J3" s="13">
        <v>45.2</v>
      </c>
      <c r="K3" s="13">
        <v>43.1</v>
      </c>
      <c r="L3" s="13">
        <v>40.299999999999997</v>
      </c>
      <c r="M3" s="13">
        <v>38.4</v>
      </c>
      <c r="N3" s="13">
        <v>37.299999999999997</v>
      </c>
      <c r="O3" s="13">
        <v>37</v>
      </c>
      <c r="P3" s="13">
        <v>35.4</v>
      </c>
      <c r="Q3" s="13">
        <v>33.1</v>
      </c>
      <c r="R3" s="13">
        <v>30.2</v>
      </c>
      <c r="S3" s="13">
        <v>28.1</v>
      </c>
      <c r="T3" s="13">
        <v>27</v>
      </c>
      <c r="U3" s="13">
        <v>26.1</v>
      </c>
      <c r="V3" s="13">
        <v>27.2</v>
      </c>
      <c r="W3" s="13">
        <v>25</v>
      </c>
      <c r="X3" s="3"/>
      <c r="Y3" s="3">
        <f t="shared" si="0"/>
        <v>40.677272727272729</v>
      </c>
    </row>
    <row r="4" spans="1:25" ht="14.25" customHeight="1" x14ac:dyDescent="0.3">
      <c r="A4" s="3" t="s">
        <v>9</v>
      </c>
      <c r="B4" s="13">
        <v>29.2</v>
      </c>
      <c r="C4" s="13">
        <v>29</v>
      </c>
      <c r="D4" s="13">
        <v>28.1</v>
      </c>
      <c r="E4" s="13">
        <v>27</v>
      </c>
      <c r="F4" s="13">
        <v>25.8</v>
      </c>
      <c r="G4" s="13">
        <v>24.6</v>
      </c>
      <c r="H4" s="13">
        <v>23.7</v>
      </c>
      <c r="I4" s="13">
        <v>22.1</v>
      </c>
      <c r="J4" s="13">
        <v>21.3</v>
      </c>
      <c r="K4" s="13">
        <v>20.6</v>
      </c>
      <c r="L4" s="13">
        <v>19.899999999999999</v>
      </c>
      <c r="M4" s="13">
        <v>18.100000000000001</v>
      </c>
      <c r="N4" s="13">
        <v>17.399999999999999</v>
      </c>
      <c r="O4" s="13">
        <v>16</v>
      </c>
      <c r="P4" s="13">
        <v>15</v>
      </c>
      <c r="Q4" s="13">
        <v>14.2</v>
      </c>
      <c r="R4" s="13">
        <v>13.6</v>
      </c>
      <c r="S4" s="13">
        <v>14.3</v>
      </c>
      <c r="T4" s="13">
        <v>14.3</v>
      </c>
      <c r="U4" s="13">
        <v>13.5</v>
      </c>
      <c r="V4" s="13">
        <v>16.899999999999999</v>
      </c>
      <c r="W4" s="13">
        <v>12.8</v>
      </c>
      <c r="X4" s="3"/>
      <c r="Y4" s="3">
        <f t="shared" si="0"/>
        <v>19.881818181818183</v>
      </c>
    </row>
    <row r="5" spans="1:25" ht="14.25" customHeight="1" x14ac:dyDescent="0.3">
      <c r="A5" s="3" t="s">
        <v>11</v>
      </c>
      <c r="B5" s="13">
        <v>84.6</v>
      </c>
      <c r="C5" s="13">
        <v>85.3</v>
      </c>
      <c r="D5" s="13">
        <v>85.2</v>
      </c>
      <c r="E5" s="13">
        <v>85.3</v>
      </c>
      <c r="F5" s="13">
        <v>85.5</v>
      </c>
      <c r="G5" s="13">
        <v>86.3</v>
      </c>
      <c r="H5" s="13">
        <v>85.5</v>
      </c>
      <c r="I5" s="13">
        <v>80.8</v>
      </c>
      <c r="J5" s="13">
        <v>80.8</v>
      </c>
      <c r="K5" s="13">
        <v>79.2</v>
      </c>
      <c r="L5" s="13">
        <v>78.7</v>
      </c>
      <c r="M5" s="13">
        <v>78.599999999999994</v>
      </c>
      <c r="N5" s="13">
        <v>78.599999999999994</v>
      </c>
      <c r="O5" s="13">
        <v>77.7</v>
      </c>
      <c r="P5" s="13">
        <v>76.900000000000006</v>
      </c>
      <c r="Q5" s="13">
        <v>78.099999999999994</v>
      </c>
      <c r="R5" s="13">
        <v>78.8</v>
      </c>
      <c r="S5" s="13">
        <v>79.2</v>
      </c>
      <c r="T5" s="13">
        <v>78.7</v>
      </c>
      <c r="U5" s="13">
        <v>78.900000000000006</v>
      </c>
      <c r="V5" s="13">
        <v>78.900000000000006</v>
      </c>
      <c r="W5" s="13">
        <v>79.2</v>
      </c>
      <c r="X5" s="3"/>
      <c r="Y5" s="3">
        <f t="shared" si="0"/>
        <v>80.945454545454552</v>
      </c>
    </row>
    <row r="6" spans="1:25" ht="14.25" customHeight="1" x14ac:dyDescent="0.3">
      <c r="A6" s="3" t="s">
        <v>101</v>
      </c>
      <c r="B6" s="13">
        <v>64.900000000000006</v>
      </c>
      <c r="C6" s="13">
        <v>61.2</v>
      </c>
      <c r="D6" s="13">
        <v>68.599999999999994</v>
      </c>
      <c r="E6" s="13">
        <v>62.1</v>
      </c>
      <c r="F6" s="13">
        <v>63.1</v>
      </c>
      <c r="G6" s="13">
        <v>63.1</v>
      </c>
      <c r="H6" s="13">
        <v>69.3</v>
      </c>
      <c r="I6" s="13">
        <v>60.2</v>
      </c>
      <c r="J6" s="13">
        <v>56.8</v>
      </c>
      <c r="K6" s="13">
        <v>55.9</v>
      </c>
      <c r="L6" s="13">
        <v>54.5</v>
      </c>
      <c r="M6" s="13">
        <v>64.3</v>
      </c>
      <c r="N6" s="13">
        <v>65.099999999999994</v>
      </c>
      <c r="O6" s="13">
        <v>62.3</v>
      </c>
      <c r="P6" s="13">
        <v>62.1</v>
      </c>
      <c r="Q6" s="13">
        <v>64.2</v>
      </c>
      <c r="R6" s="13">
        <v>67.7</v>
      </c>
      <c r="S6" s="13">
        <v>69.8</v>
      </c>
      <c r="T6" s="13">
        <v>70.599999999999994</v>
      </c>
      <c r="U6" s="13">
        <v>69.8</v>
      </c>
      <c r="V6" s="13">
        <v>71.400000000000006</v>
      </c>
      <c r="W6" s="13">
        <v>71.400000000000006</v>
      </c>
      <c r="X6" s="3"/>
      <c r="Y6" s="3">
        <f t="shared" si="0"/>
        <v>64.472727272727283</v>
      </c>
    </row>
    <row r="7" spans="1:25" ht="14.25" customHeight="1" x14ac:dyDescent="0.3">
      <c r="A7" s="3" t="s">
        <v>282</v>
      </c>
      <c r="B7" s="13">
        <v>63.7</v>
      </c>
      <c r="C7" s="13">
        <v>64.7</v>
      </c>
      <c r="D7" s="13">
        <v>65.3</v>
      </c>
      <c r="E7" s="13">
        <v>70.3</v>
      </c>
      <c r="F7" s="13">
        <v>75.400000000000006</v>
      </c>
      <c r="G7" s="13">
        <v>77.900000000000006</v>
      </c>
      <c r="H7" s="13">
        <v>74.8</v>
      </c>
      <c r="I7" s="13">
        <v>76.3</v>
      </c>
      <c r="J7" s="13">
        <v>74.2</v>
      </c>
      <c r="K7" s="13">
        <v>73.7</v>
      </c>
      <c r="L7" s="13">
        <v>75.400000000000006</v>
      </c>
      <c r="M7" s="13">
        <v>79.099999999999994</v>
      </c>
      <c r="N7" s="13">
        <v>74.900000000000006</v>
      </c>
      <c r="O7" s="13">
        <v>72.2</v>
      </c>
      <c r="P7" s="13">
        <v>71.900000000000006</v>
      </c>
      <c r="Q7" s="13">
        <v>64.5</v>
      </c>
      <c r="R7" s="13">
        <v>64</v>
      </c>
      <c r="S7" s="13">
        <v>62.5</v>
      </c>
      <c r="T7" s="13">
        <v>60.5</v>
      </c>
      <c r="U7" s="13">
        <v>61.1</v>
      </c>
      <c r="V7" s="13">
        <v>61.8</v>
      </c>
      <c r="W7" s="13">
        <v>58.2</v>
      </c>
      <c r="X7" s="3"/>
      <c r="Y7" s="3">
        <f t="shared" si="0"/>
        <v>69.2</v>
      </c>
    </row>
    <row r="8" spans="1:25" ht="14.25" customHeight="1" x14ac:dyDescent="0.3">
      <c r="A8" s="3" t="s">
        <v>102</v>
      </c>
      <c r="B8" s="13">
        <v>8.3000000000000007</v>
      </c>
      <c r="C8" s="13">
        <v>7.8</v>
      </c>
      <c r="D8" s="13">
        <v>7.3</v>
      </c>
      <c r="E8" s="13">
        <v>7.4</v>
      </c>
      <c r="F8" s="13">
        <v>7.6</v>
      </c>
      <c r="G8" s="13">
        <v>6.5</v>
      </c>
      <c r="H8" s="13">
        <v>6.2</v>
      </c>
      <c r="I8" s="13">
        <v>6</v>
      </c>
      <c r="J8" s="13">
        <v>5.9</v>
      </c>
      <c r="K8" s="13">
        <v>5.7</v>
      </c>
      <c r="L8" s="13">
        <v>5.4</v>
      </c>
      <c r="M8" s="13">
        <v>5.4</v>
      </c>
      <c r="N8" s="13">
        <v>5.3</v>
      </c>
      <c r="O8" s="13">
        <v>5.3</v>
      </c>
      <c r="P8" s="13">
        <v>5.4</v>
      </c>
      <c r="Q8" s="13">
        <v>5.3</v>
      </c>
      <c r="R8" s="13">
        <v>5.0999999999999996</v>
      </c>
      <c r="S8" s="13">
        <v>4.9000000000000004</v>
      </c>
      <c r="T8" s="13">
        <v>5</v>
      </c>
      <c r="U8" s="13">
        <v>6.2</v>
      </c>
      <c r="V8" s="13">
        <v>6.7</v>
      </c>
      <c r="W8" s="13">
        <v>6.1</v>
      </c>
      <c r="X8" s="3"/>
      <c r="Y8" s="3">
        <f t="shared" si="0"/>
        <v>6.1272727272727279</v>
      </c>
    </row>
    <row r="9" spans="1:25" ht="14.25" customHeight="1" x14ac:dyDescent="0.3">
      <c r="A9" s="3" t="s">
        <v>19</v>
      </c>
      <c r="B9" s="13">
        <v>71.599999999999994</v>
      </c>
      <c r="C9" s="13">
        <v>69.3</v>
      </c>
      <c r="D9" s="13">
        <v>65.7</v>
      </c>
      <c r="E9" s="13">
        <v>64.5</v>
      </c>
      <c r="F9" s="13">
        <v>62.4</v>
      </c>
      <c r="G9" s="13">
        <v>61.4</v>
      </c>
      <c r="H9" s="13">
        <v>58.6</v>
      </c>
      <c r="I9" s="13">
        <v>54.5</v>
      </c>
      <c r="J9" s="13">
        <v>57.3</v>
      </c>
      <c r="K9" s="13">
        <v>51.9</v>
      </c>
      <c r="L9" s="13">
        <v>51.9</v>
      </c>
      <c r="M9" s="13">
        <v>50.1</v>
      </c>
      <c r="N9" s="13">
        <v>46.5</v>
      </c>
      <c r="O9" s="13">
        <v>46.2</v>
      </c>
      <c r="P9" s="13">
        <v>47.7</v>
      </c>
      <c r="Q9" s="13">
        <v>44</v>
      </c>
      <c r="R9" s="13">
        <v>45.2</v>
      </c>
      <c r="S9" s="13">
        <v>45.3</v>
      </c>
      <c r="T9" s="13">
        <v>42.1</v>
      </c>
      <c r="U9" s="13">
        <v>42.6</v>
      </c>
      <c r="V9" s="13">
        <v>40</v>
      </c>
      <c r="W9" s="13">
        <v>39</v>
      </c>
      <c r="X9" s="3"/>
      <c r="Y9" s="3">
        <f t="shared" si="0"/>
        <v>52.627272727272725</v>
      </c>
    </row>
    <row r="10" spans="1:25" ht="14.25" customHeight="1" x14ac:dyDescent="0.3">
      <c r="A10" s="3" t="s">
        <v>21</v>
      </c>
      <c r="B10" s="13">
        <v>80.8</v>
      </c>
      <c r="C10" s="13">
        <v>80.900000000000006</v>
      </c>
      <c r="D10" s="13">
        <v>79.099999999999994</v>
      </c>
      <c r="E10" s="13">
        <v>79</v>
      </c>
      <c r="F10" s="13">
        <v>81.099999999999994</v>
      </c>
      <c r="G10" s="13">
        <v>81.099999999999994</v>
      </c>
      <c r="H10" s="13">
        <v>81.400000000000006</v>
      </c>
      <c r="I10" s="13">
        <v>79.3</v>
      </c>
      <c r="J10" s="13">
        <v>79.599999999999994</v>
      </c>
      <c r="K10" s="13">
        <v>80.3</v>
      </c>
      <c r="L10" s="13">
        <v>79</v>
      </c>
      <c r="M10" s="13">
        <v>79</v>
      </c>
      <c r="N10" s="13">
        <v>82.2</v>
      </c>
      <c r="O10" s="13">
        <v>80.400000000000006</v>
      </c>
      <c r="P10" s="13">
        <v>77.8</v>
      </c>
      <c r="Q10" s="13">
        <v>76.099999999999994</v>
      </c>
      <c r="R10" s="13">
        <v>76.099999999999994</v>
      </c>
      <c r="S10" s="13">
        <v>76.2</v>
      </c>
      <c r="T10" s="13">
        <v>76.2</v>
      </c>
      <c r="U10" s="13">
        <v>76.400000000000006</v>
      </c>
      <c r="V10" s="13">
        <v>76.3</v>
      </c>
      <c r="W10" s="13">
        <v>76.7</v>
      </c>
      <c r="X10" s="3"/>
      <c r="Y10" s="3">
        <f t="shared" si="0"/>
        <v>78.86363636363636</v>
      </c>
    </row>
    <row r="11" spans="1:25" ht="14.25" customHeight="1" x14ac:dyDescent="0.3">
      <c r="A11" s="3" t="s">
        <v>23</v>
      </c>
      <c r="B11" s="13">
        <v>55.2</v>
      </c>
      <c r="C11" s="13">
        <v>50.4</v>
      </c>
      <c r="D11" s="13">
        <v>49.8</v>
      </c>
      <c r="E11" s="13">
        <v>47.9</v>
      </c>
      <c r="F11" s="13">
        <v>46.7</v>
      </c>
      <c r="G11" s="13">
        <v>51.4</v>
      </c>
      <c r="H11" s="13">
        <v>52.2</v>
      </c>
      <c r="I11" s="13">
        <v>50.6</v>
      </c>
      <c r="J11" s="13">
        <v>50</v>
      </c>
      <c r="K11" s="13">
        <v>50.5</v>
      </c>
      <c r="L11" s="13">
        <v>53.6</v>
      </c>
      <c r="M11" s="13">
        <v>50.9</v>
      </c>
      <c r="N11" s="13">
        <v>49.3</v>
      </c>
      <c r="O11" s="13">
        <v>51.1</v>
      </c>
      <c r="P11" s="13">
        <v>52.2</v>
      </c>
      <c r="Q11" s="13">
        <v>50.8</v>
      </c>
      <c r="R11" s="13">
        <v>52.7</v>
      </c>
      <c r="S11" s="13">
        <v>45.6</v>
      </c>
      <c r="T11" s="13">
        <v>48.9</v>
      </c>
      <c r="U11" s="13">
        <v>46.2</v>
      </c>
      <c r="V11" s="13">
        <v>50.2</v>
      </c>
      <c r="W11" s="13">
        <v>45.9</v>
      </c>
      <c r="X11" s="3"/>
      <c r="Y11" s="3">
        <f t="shared" si="0"/>
        <v>50.095454545454551</v>
      </c>
    </row>
    <row r="12" spans="1:25" ht="14.25" customHeight="1" x14ac:dyDescent="0.3">
      <c r="A12" s="3" t="s">
        <v>25</v>
      </c>
      <c r="B12" s="13">
        <v>46.9</v>
      </c>
      <c r="C12" s="13">
        <v>47.1</v>
      </c>
      <c r="D12" s="13">
        <v>45.8</v>
      </c>
      <c r="E12" s="13">
        <v>45.6</v>
      </c>
      <c r="F12" s="13">
        <v>44.9</v>
      </c>
      <c r="G12" s="13">
        <v>44.2</v>
      </c>
      <c r="H12" s="13">
        <v>43.2</v>
      </c>
      <c r="I12" s="13">
        <v>41.5</v>
      </c>
      <c r="J12" s="13">
        <v>39.4</v>
      </c>
      <c r="K12" s="13">
        <v>37.4</v>
      </c>
      <c r="L12" s="13">
        <v>36.200000000000003</v>
      </c>
      <c r="M12" s="13">
        <v>35</v>
      </c>
      <c r="N12" s="13">
        <v>34.799999999999997</v>
      </c>
      <c r="O12" s="13">
        <v>34.9</v>
      </c>
      <c r="P12" s="13">
        <v>33.9</v>
      </c>
      <c r="Q12" s="13">
        <v>33.4</v>
      </c>
      <c r="R12" s="13">
        <v>33</v>
      </c>
      <c r="S12" s="13">
        <v>32.5</v>
      </c>
      <c r="T12" s="13">
        <v>32.9</v>
      </c>
      <c r="U12" s="13">
        <v>33.5</v>
      </c>
      <c r="V12" s="13">
        <v>36.1</v>
      </c>
      <c r="W12" s="13">
        <v>34.9</v>
      </c>
      <c r="X12" s="3"/>
      <c r="Y12" s="3">
        <f t="shared" si="0"/>
        <v>38.504545454545443</v>
      </c>
    </row>
    <row r="13" spans="1:25" ht="14.25" customHeight="1" x14ac:dyDescent="0.3">
      <c r="A13" s="3" t="s">
        <v>27</v>
      </c>
      <c r="B13" s="13">
        <v>2.1</v>
      </c>
      <c r="C13" s="13">
        <v>2.1</v>
      </c>
      <c r="D13" s="13">
        <v>2.1</v>
      </c>
      <c r="E13" s="13">
        <v>2</v>
      </c>
      <c r="F13" s="13">
        <v>1.8</v>
      </c>
      <c r="G13" s="13">
        <v>1.7</v>
      </c>
      <c r="H13" s="13">
        <v>2.2999999999999998</v>
      </c>
      <c r="I13" s="13">
        <v>2.2999999999999998</v>
      </c>
      <c r="J13" s="13">
        <v>2.7</v>
      </c>
      <c r="K13" s="13">
        <v>2.8</v>
      </c>
      <c r="L13" s="13">
        <v>3</v>
      </c>
      <c r="M13" s="13">
        <v>3</v>
      </c>
      <c r="N13" s="13">
        <v>2.9</v>
      </c>
      <c r="O13" s="13">
        <v>3.1</v>
      </c>
      <c r="P13" s="13">
        <v>3.1</v>
      </c>
      <c r="Q13" s="13">
        <v>3.2</v>
      </c>
      <c r="R13" s="13">
        <v>4.7</v>
      </c>
      <c r="S13" s="13">
        <v>5.3</v>
      </c>
      <c r="T13" s="13">
        <v>7.2</v>
      </c>
      <c r="U13" s="13">
        <v>8.5</v>
      </c>
      <c r="V13" s="13">
        <v>10.7</v>
      </c>
      <c r="W13" s="13">
        <v>11.5</v>
      </c>
      <c r="X13" s="3"/>
      <c r="Y13" s="3">
        <f t="shared" si="0"/>
        <v>4.0045454545454549</v>
      </c>
    </row>
    <row r="14" spans="1:25" ht="14.25" customHeight="1" x14ac:dyDescent="0.3">
      <c r="A14" s="3" t="s">
        <v>29</v>
      </c>
      <c r="B14" s="13">
        <v>76.8</v>
      </c>
      <c r="C14" s="13">
        <v>78.3</v>
      </c>
      <c r="D14" s="13">
        <v>78.8</v>
      </c>
      <c r="E14" s="13">
        <v>81.599999999999994</v>
      </c>
      <c r="F14" s="13">
        <v>80.3</v>
      </c>
      <c r="G14" s="13">
        <v>79.2</v>
      </c>
      <c r="H14" s="13">
        <v>77.599999999999994</v>
      </c>
      <c r="I14" s="13">
        <v>78.2</v>
      </c>
      <c r="J14" s="13">
        <v>78.2</v>
      </c>
      <c r="K14" s="13">
        <v>75.599999999999994</v>
      </c>
      <c r="L14" s="13">
        <v>74</v>
      </c>
      <c r="M14" s="13">
        <v>74.7</v>
      </c>
      <c r="N14" s="13">
        <v>76.2</v>
      </c>
      <c r="O14" s="13">
        <v>74.3</v>
      </c>
      <c r="P14" s="13">
        <v>71.8</v>
      </c>
      <c r="Q14" s="13">
        <v>69.2</v>
      </c>
      <c r="R14" s="13">
        <v>68.3</v>
      </c>
      <c r="S14" s="13">
        <v>68.099999999999994</v>
      </c>
      <c r="T14" s="13">
        <v>68.7</v>
      </c>
      <c r="U14" s="13">
        <v>68.099999999999994</v>
      </c>
      <c r="V14" s="13">
        <v>69</v>
      </c>
      <c r="W14" s="13">
        <v>67.7</v>
      </c>
      <c r="X14" s="3"/>
      <c r="Y14" s="3">
        <f t="shared" si="0"/>
        <v>74.304545454545462</v>
      </c>
    </row>
    <row r="15" spans="1:25" ht="14.25" customHeight="1" x14ac:dyDescent="0.3">
      <c r="A15" s="3" t="s">
        <v>31</v>
      </c>
      <c r="B15" s="13">
        <v>4.9000000000000004</v>
      </c>
      <c r="C15" s="13">
        <v>4.5999999999999996</v>
      </c>
      <c r="D15" s="13">
        <v>5.7</v>
      </c>
      <c r="E15" s="13">
        <v>7</v>
      </c>
      <c r="F15" s="13">
        <v>6.1</v>
      </c>
      <c r="G15" s="13">
        <v>6.4</v>
      </c>
      <c r="H15" s="13">
        <v>6.4</v>
      </c>
      <c r="I15" s="13">
        <v>7.3</v>
      </c>
      <c r="J15" s="13">
        <v>5.0999999999999996</v>
      </c>
      <c r="K15" s="13">
        <v>4.3</v>
      </c>
      <c r="L15" s="13">
        <v>5.7</v>
      </c>
      <c r="M15" s="13">
        <v>6.2</v>
      </c>
      <c r="N15" s="13">
        <v>5.6</v>
      </c>
      <c r="O15" s="13">
        <v>5.9</v>
      </c>
      <c r="P15" s="13">
        <v>4.2</v>
      </c>
      <c r="Q15" s="13">
        <v>4.2</v>
      </c>
      <c r="R15" s="13">
        <v>4</v>
      </c>
      <c r="S15" s="13">
        <v>4</v>
      </c>
      <c r="T15" s="13">
        <v>4.7</v>
      </c>
      <c r="U15" s="13">
        <v>5.0999999999999996</v>
      </c>
      <c r="V15" s="13">
        <v>6.3</v>
      </c>
      <c r="W15" s="13">
        <v>6.8</v>
      </c>
      <c r="X15" s="3"/>
      <c r="Y15" s="3">
        <f t="shared" si="0"/>
        <v>5.4772727272727266</v>
      </c>
    </row>
    <row r="16" spans="1:25" ht="14.25" customHeight="1" x14ac:dyDescent="0.3">
      <c r="A16" s="3" t="s">
        <v>33</v>
      </c>
      <c r="B16" s="13">
        <v>15.5</v>
      </c>
      <c r="C16" s="13">
        <v>15.3</v>
      </c>
      <c r="D16" s="13">
        <v>15.1</v>
      </c>
      <c r="E16" s="13">
        <v>16.100000000000001</v>
      </c>
      <c r="F16" s="13">
        <v>22.4</v>
      </c>
      <c r="G16" s="13">
        <v>20</v>
      </c>
      <c r="H16" s="13">
        <v>18.2</v>
      </c>
      <c r="I16" s="13">
        <v>16.600000000000001</v>
      </c>
      <c r="J16" s="13">
        <v>14.4</v>
      </c>
      <c r="K16" s="13">
        <v>14.2</v>
      </c>
      <c r="L16" s="13">
        <v>13.9</v>
      </c>
      <c r="M16" s="13">
        <v>11.8</v>
      </c>
      <c r="N16" s="13">
        <v>10.9</v>
      </c>
      <c r="O16" s="13">
        <v>11.6</v>
      </c>
      <c r="P16" s="13">
        <v>11.1</v>
      </c>
      <c r="Q16" s="13">
        <v>11.2</v>
      </c>
      <c r="R16" s="13">
        <v>11.1</v>
      </c>
      <c r="S16" s="13">
        <v>10.4</v>
      </c>
      <c r="T16" s="13">
        <v>10.9</v>
      </c>
      <c r="U16" s="13">
        <v>10.7</v>
      </c>
      <c r="V16" s="13">
        <v>11.1</v>
      </c>
      <c r="W16" s="13">
        <v>10.9</v>
      </c>
      <c r="X16" s="3"/>
      <c r="Y16" s="3">
        <f t="shared" si="0"/>
        <v>13.790909090909089</v>
      </c>
    </row>
    <row r="17" spans="1:25" ht="14.25" customHeight="1" x14ac:dyDescent="0.3">
      <c r="A17" s="3" t="s">
        <v>35</v>
      </c>
      <c r="B17" s="13">
        <v>80.2</v>
      </c>
      <c r="C17" s="13">
        <v>82.5</v>
      </c>
      <c r="D17" s="13">
        <v>83</v>
      </c>
      <c r="E17" s="13">
        <v>79.900000000000006</v>
      </c>
      <c r="F17" s="13">
        <v>80.2</v>
      </c>
      <c r="G17" s="13">
        <v>79.599999999999994</v>
      </c>
      <c r="H17" s="13">
        <v>81.3</v>
      </c>
      <c r="I17" s="13">
        <v>80.5</v>
      </c>
      <c r="J17" s="13">
        <v>85.6</v>
      </c>
      <c r="K17" s="13">
        <v>85.8</v>
      </c>
      <c r="L17" s="13">
        <v>84.6</v>
      </c>
      <c r="M17" s="13">
        <v>83.8</v>
      </c>
      <c r="N17" s="13">
        <v>78.099999999999994</v>
      </c>
      <c r="O17" s="13">
        <v>75.599999999999994</v>
      </c>
      <c r="P17" s="13">
        <v>72</v>
      </c>
      <c r="Q17" s="13">
        <v>70</v>
      </c>
      <c r="R17" s="13">
        <v>68.8</v>
      </c>
      <c r="S17" s="13">
        <v>59.5</v>
      </c>
      <c r="T17" s="13">
        <v>59.4</v>
      </c>
      <c r="U17" s="13">
        <v>58.5</v>
      </c>
      <c r="V17" s="13">
        <v>59.2</v>
      </c>
      <c r="W17" s="13">
        <v>62.9</v>
      </c>
      <c r="X17" s="3"/>
      <c r="Y17" s="3">
        <f t="shared" si="0"/>
        <v>75.045454545454547</v>
      </c>
    </row>
    <row r="18" spans="1:25" ht="14.25" customHeight="1" x14ac:dyDescent="0.3">
      <c r="A18" s="3" t="s">
        <v>37</v>
      </c>
      <c r="B18" s="13">
        <v>58.4</v>
      </c>
      <c r="C18" s="13">
        <v>56.7</v>
      </c>
      <c r="D18" s="13">
        <v>54.7</v>
      </c>
      <c r="E18" s="13">
        <v>51.5</v>
      </c>
      <c r="F18" s="13">
        <v>51.2</v>
      </c>
      <c r="G18" s="13">
        <v>52.8</v>
      </c>
      <c r="H18" s="13">
        <v>53.3</v>
      </c>
      <c r="I18" s="13">
        <v>52.6</v>
      </c>
      <c r="J18" s="13">
        <v>53.8</v>
      </c>
      <c r="K18" s="13">
        <v>54.6</v>
      </c>
      <c r="L18" s="13">
        <v>54.4</v>
      </c>
      <c r="M18" s="13">
        <v>53.3</v>
      </c>
      <c r="N18" s="13">
        <v>53.3</v>
      </c>
      <c r="O18" s="13">
        <v>54.3</v>
      </c>
      <c r="P18" s="13">
        <v>53</v>
      </c>
      <c r="Q18" s="13">
        <v>50</v>
      </c>
      <c r="R18" s="13">
        <v>49.5</v>
      </c>
      <c r="S18" s="13">
        <v>48.9</v>
      </c>
      <c r="T18" s="13">
        <v>51.3</v>
      </c>
      <c r="U18" s="13">
        <v>50.5</v>
      </c>
      <c r="V18" s="13">
        <v>52.2</v>
      </c>
      <c r="W18" s="13">
        <v>50.4</v>
      </c>
      <c r="X18" s="3"/>
      <c r="Y18" s="3">
        <f t="shared" si="0"/>
        <v>52.759090909090908</v>
      </c>
    </row>
    <row r="19" spans="1:25" ht="14.25" customHeight="1" x14ac:dyDescent="0.3">
      <c r="A19" s="3" t="s">
        <v>39</v>
      </c>
      <c r="B19" s="13">
        <v>86</v>
      </c>
      <c r="C19" s="13">
        <v>84.5</v>
      </c>
      <c r="D19" s="13">
        <v>84.5</v>
      </c>
      <c r="E19" s="13">
        <v>82.9</v>
      </c>
      <c r="F19" s="13">
        <v>84</v>
      </c>
      <c r="G19" s="13">
        <v>83.9</v>
      </c>
      <c r="H19" s="13">
        <v>85.8</v>
      </c>
      <c r="I19" s="13">
        <v>87.1</v>
      </c>
      <c r="J19" s="13">
        <v>85.7</v>
      </c>
      <c r="K19" s="13">
        <v>88.1</v>
      </c>
      <c r="L19" s="13">
        <v>86</v>
      </c>
      <c r="M19" s="13">
        <v>84.1</v>
      </c>
      <c r="N19" s="13">
        <v>83.9</v>
      </c>
      <c r="O19" s="13">
        <v>81.400000000000006</v>
      </c>
      <c r="P19" s="13">
        <v>79.900000000000006</v>
      </c>
      <c r="Q19" s="13">
        <v>81.3</v>
      </c>
      <c r="R19" s="13">
        <v>81.099999999999994</v>
      </c>
      <c r="S19" s="13">
        <v>81.599999999999994</v>
      </c>
      <c r="T19" s="13">
        <v>80.8</v>
      </c>
      <c r="U19" s="13">
        <v>80.099999999999994</v>
      </c>
      <c r="V19" s="13">
        <v>81.8</v>
      </c>
      <c r="W19" s="13">
        <v>80.3</v>
      </c>
      <c r="X19" s="3"/>
      <c r="Y19" s="3">
        <f t="shared" si="0"/>
        <v>83.399999999999991</v>
      </c>
    </row>
    <row r="20" spans="1:25" ht="14.25" customHeight="1" x14ac:dyDescent="0.3">
      <c r="A20" s="3" t="s">
        <v>41</v>
      </c>
      <c r="B20" s="13">
        <v>51</v>
      </c>
      <c r="C20" s="13">
        <v>51.5</v>
      </c>
      <c r="D20" s="13">
        <v>51.4</v>
      </c>
      <c r="E20" s="13">
        <v>50.1</v>
      </c>
      <c r="F20" s="13">
        <v>47.9</v>
      </c>
      <c r="G20" s="13">
        <v>48</v>
      </c>
      <c r="H20" s="13">
        <v>47</v>
      </c>
      <c r="I20" s="13">
        <v>44.9</v>
      </c>
      <c r="J20" s="13">
        <v>46.6</v>
      </c>
      <c r="K20" s="13">
        <v>46.4</v>
      </c>
      <c r="L20" s="13">
        <v>47.4</v>
      </c>
      <c r="M20" s="13">
        <v>46.8</v>
      </c>
      <c r="N20" s="13">
        <v>47.2</v>
      </c>
      <c r="O20" s="13">
        <v>48.1</v>
      </c>
      <c r="P20" s="13">
        <v>47.2</v>
      </c>
      <c r="Q20" s="13">
        <v>45.9</v>
      </c>
      <c r="R20" s="13">
        <v>43.7</v>
      </c>
      <c r="S20" s="13">
        <v>42.1</v>
      </c>
      <c r="T20" s="13">
        <v>43.4</v>
      </c>
      <c r="U20" s="13">
        <v>45.9</v>
      </c>
      <c r="V20" s="13">
        <v>42.7</v>
      </c>
      <c r="W20" s="13">
        <v>41.6</v>
      </c>
      <c r="X20" s="3"/>
      <c r="Y20" s="3">
        <f t="shared" si="0"/>
        <v>46.672727272727272</v>
      </c>
    </row>
    <row r="21" spans="1:25" ht="14.25" customHeight="1" x14ac:dyDescent="0.3">
      <c r="A21" s="3" t="s">
        <v>43</v>
      </c>
      <c r="B21" s="13">
        <v>66.400000000000006</v>
      </c>
      <c r="C21" s="13">
        <v>63.4</v>
      </c>
      <c r="D21" s="13">
        <v>62.5</v>
      </c>
      <c r="E21" s="13">
        <v>60.4</v>
      </c>
      <c r="F21" s="13">
        <v>57.5</v>
      </c>
      <c r="G21" s="13">
        <v>58.6</v>
      </c>
      <c r="H21" s="13">
        <v>58.9</v>
      </c>
      <c r="I21" s="13">
        <v>57.1</v>
      </c>
      <c r="J21" s="13">
        <v>56.9</v>
      </c>
      <c r="K21" s="13">
        <v>56</v>
      </c>
      <c r="L21" s="13">
        <v>55.2</v>
      </c>
      <c r="M21" s="13">
        <v>54.7</v>
      </c>
      <c r="N21" s="13">
        <v>55.5</v>
      </c>
      <c r="O21" s="13">
        <v>58.3</v>
      </c>
      <c r="P21" s="13">
        <v>56.9</v>
      </c>
      <c r="Q21" s="13">
        <v>55.3</v>
      </c>
      <c r="R21" s="13">
        <v>54.8</v>
      </c>
      <c r="S21" s="13">
        <v>54.7</v>
      </c>
      <c r="T21" s="13">
        <v>53.4</v>
      </c>
      <c r="U21" s="13">
        <v>53.2</v>
      </c>
      <c r="V21" s="13">
        <v>53.6</v>
      </c>
      <c r="W21" s="13">
        <v>54.5</v>
      </c>
      <c r="X21" s="3"/>
      <c r="Y21" s="3">
        <f t="shared" si="0"/>
        <v>57.172727272727272</v>
      </c>
    </row>
    <row r="22" spans="1:25" ht="14.25" customHeight="1" x14ac:dyDescent="0.3">
      <c r="A22" s="3" t="s">
        <v>45</v>
      </c>
      <c r="B22" s="13">
        <v>33.9</v>
      </c>
      <c r="C22" s="13">
        <v>32.9</v>
      </c>
      <c r="D22" s="13">
        <v>31.8</v>
      </c>
      <c r="E22" s="13">
        <v>30.9</v>
      </c>
      <c r="F22" s="13">
        <v>30.2</v>
      </c>
      <c r="G22" s="13">
        <v>31.3</v>
      </c>
      <c r="H22" s="13">
        <v>33.299999999999997</v>
      </c>
      <c r="I22" s="13">
        <v>32.4</v>
      </c>
      <c r="J22" s="13">
        <v>33.9</v>
      </c>
      <c r="K22" s="13">
        <v>34.1</v>
      </c>
      <c r="L22" s="13">
        <v>32.700000000000003</v>
      </c>
      <c r="M22" s="13">
        <v>33.799999999999997</v>
      </c>
      <c r="N22" s="13">
        <v>34.1</v>
      </c>
      <c r="O22" s="13">
        <v>33.1</v>
      </c>
      <c r="P22" s="13">
        <v>32.4</v>
      </c>
      <c r="Q22" s="13">
        <v>30.8</v>
      </c>
      <c r="R22" s="13">
        <v>28.6</v>
      </c>
      <c r="S22" s="13">
        <v>27.8</v>
      </c>
      <c r="T22" s="13">
        <v>27.6</v>
      </c>
      <c r="U22" s="13">
        <v>26.9</v>
      </c>
      <c r="V22" s="13">
        <v>29.1</v>
      </c>
      <c r="W22" s="13">
        <v>28</v>
      </c>
      <c r="X22" s="3"/>
      <c r="Y22" s="3">
        <f t="shared" si="0"/>
        <v>31.345454545454547</v>
      </c>
    </row>
    <row r="23" spans="1:25" ht="14.25" customHeight="1" x14ac:dyDescent="0.3">
      <c r="A23" s="3" t="s">
        <v>47</v>
      </c>
      <c r="B23" s="13">
        <v>47.5</v>
      </c>
      <c r="C23" s="13">
        <v>45.8</v>
      </c>
      <c r="D23" s="13">
        <v>43.8</v>
      </c>
      <c r="E23" s="13">
        <v>43.7</v>
      </c>
      <c r="F23" s="13">
        <v>39.9</v>
      </c>
      <c r="G23" s="13">
        <v>40.299999999999997</v>
      </c>
      <c r="H23" s="13">
        <v>43.4</v>
      </c>
      <c r="I23" s="13">
        <v>40</v>
      </c>
      <c r="J23" s="13">
        <v>39.799999999999997</v>
      </c>
      <c r="K23" s="13">
        <v>51.3</v>
      </c>
      <c r="L23" s="13">
        <v>49.5</v>
      </c>
      <c r="M23" s="13">
        <v>48</v>
      </c>
      <c r="N23" s="13">
        <v>49.6</v>
      </c>
      <c r="O23" s="13">
        <v>42.7</v>
      </c>
      <c r="P23" s="13">
        <v>42.5</v>
      </c>
      <c r="Q23" s="13">
        <v>39.1</v>
      </c>
      <c r="R23" s="13">
        <v>36.700000000000003</v>
      </c>
      <c r="S23" s="13">
        <v>36.799999999999997</v>
      </c>
      <c r="T23" s="13">
        <v>34.200000000000003</v>
      </c>
      <c r="U23" s="13">
        <v>36.200000000000003</v>
      </c>
      <c r="V23" s="13">
        <v>38.700000000000003</v>
      </c>
      <c r="W23" s="13">
        <v>35.4</v>
      </c>
      <c r="X23" s="3"/>
      <c r="Y23" s="3">
        <f t="shared" si="0"/>
        <v>42.040909090909103</v>
      </c>
    </row>
    <row r="24" spans="1:25" ht="14.25" customHeight="1" x14ac:dyDescent="0.3">
      <c r="A24" s="3" t="s">
        <v>49</v>
      </c>
      <c r="B24" s="13">
        <v>64.2</v>
      </c>
      <c r="C24" s="13">
        <v>62.9</v>
      </c>
      <c r="D24" s="13">
        <v>62.1</v>
      </c>
      <c r="E24" s="13">
        <v>61.3</v>
      </c>
      <c r="F24" s="13">
        <v>61.6</v>
      </c>
      <c r="G24" s="13">
        <v>60.1</v>
      </c>
      <c r="H24" s="13">
        <v>62.2</v>
      </c>
      <c r="I24" s="13">
        <v>60.2</v>
      </c>
      <c r="J24" s="13">
        <v>61.6</v>
      </c>
      <c r="K24" s="13">
        <v>63.5</v>
      </c>
      <c r="L24" s="13">
        <v>61.9</v>
      </c>
      <c r="M24" s="13">
        <v>56.4</v>
      </c>
      <c r="N24" s="13">
        <v>52.9</v>
      </c>
      <c r="O24" s="13">
        <v>56.9</v>
      </c>
      <c r="P24" s="13">
        <v>54.2</v>
      </c>
      <c r="Q24" s="13">
        <v>51.3</v>
      </c>
      <c r="R24" s="13">
        <v>45.1</v>
      </c>
      <c r="S24" s="13">
        <v>45.8</v>
      </c>
      <c r="T24" s="13">
        <v>47.9</v>
      </c>
      <c r="U24" s="13">
        <v>46.1</v>
      </c>
      <c r="V24" s="13">
        <v>49.3</v>
      </c>
      <c r="W24" s="13">
        <v>48.8</v>
      </c>
      <c r="X24" s="3"/>
      <c r="Y24" s="3">
        <f t="shared" si="0"/>
        <v>56.195454545454545</v>
      </c>
    </row>
    <row r="25" spans="1:25" ht="14.25" customHeight="1" x14ac:dyDescent="0.3">
      <c r="A25" s="3" t="s">
        <v>103</v>
      </c>
      <c r="B25" s="13">
        <v>93.6</v>
      </c>
      <c r="C25" s="13">
        <v>93.1</v>
      </c>
      <c r="D25" s="13">
        <v>92.4</v>
      </c>
      <c r="E25" s="13">
        <v>92.4</v>
      </c>
      <c r="F25" s="13">
        <v>91.3</v>
      </c>
      <c r="G25" s="13">
        <v>90.3</v>
      </c>
      <c r="H25" s="13">
        <v>89.9</v>
      </c>
      <c r="I25" s="13">
        <v>90.6</v>
      </c>
      <c r="J25" s="13">
        <v>90.3</v>
      </c>
      <c r="K25" s="13">
        <v>91</v>
      </c>
      <c r="L25" s="13">
        <v>89.4</v>
      </c>
      <c r="M25" s="13">
        <v>87.6</v>
      </c>
      <c r="N25" s="13">
        <v>85.2</v>
      </c>
      <c r="O25" s="13">
        <v>84.5</v>
      </c>
      <c r="P25" s="13">
        <v>84.7</v>
      </c>
      <c r="Q25" s="13">
        <v>82.8</v>
      </c>
      <c r="R25" s="13">
        <v>81.7</v>
      </c>
      <c r="S25" s="13">
        <v>82</v>
      </c>
      <c r="T25" s="13">
        <v>81.3</v>
      </c>
      <c r="U25" s="13">
        <v>80.400000000000006</v>
      </c>
      <c r="V25" s="13">
        <v>80.8</v>
      </c>
      <c r="W25" s="13">
        <v>78.3</v>
      </c>
      <c r="X25" s="3"/>
      <c r="Y25" s="3">
        <f t="shared" si="0"/>
        <v>86.981818181818184</v>
      </c>
    </row>
    <row r="26" spans="1:25" ht="14.25" customHeight="1" x14ac:dyDescent="0.3">
      <c r="A26" s="3" t="s">
        <v>53</v>
      </c>
      <c r="B26" s="13">
        <v>14.2</v>
      </c>
      <c r="C26" s="13">
        <v>14.2</v>
      </c>
      <c r="D26" s="13">
        <v>14.6</v>
      </c>
      <c r="E26" s="13">
        <v>14.1</v>
      </c>
      <c r="F26" s="13">
        <v>13.9</v>
      </c>
      <c r="G26" s="13">
        <v>14.2</v>
      </c>
      <c r="H26" s="13">
        <v>14.3</v>
      </c>
      <c r="I26" s="13">
        <v>14.3</v>
      </c>
      <c r="J26" s="13">
        <v>14.6</v>
      </c>
      <c r="K26" s="13">
        <v>16.100000000000001</v>
      </c>
      <c r="L26" s="13">
        <v>12.6</v>
      </c>
      <c r="M26" s="13">
        <v>13.2</v>
      </c>
      <c r="N26" s="13">
        <v>13</v>
      </c>
      <c r="O26" s="13">
        <v>13.2</v>
      </c>
      <c r="P26" s="13">
        <v>12.9</v>
      </c>
      <c r="Q26" s="13">
        <v>12.5</v>
      </c>
      <c r="R26" s="13">
        <v>12.4</v>
      </c>
      <c r="S26" s="13">
        <v>11.8</v>
      </c>
      <c r="T26" s="13">
        <v>11.9</v>
      </c>
      <c r="U26" s="13">
        <v>12.2</v>
      </c>
      <c r="V26" s="13">
        <v>12.9</v>
      </c>
      <c r="W26" s="13">
        <v>11.6</v>
      </c>
      <c r="X26" s="3"/>
      <c r="Y26" s="3">
        <f t="shared" si="0"/>
        <v>13.395454545454545</v>
      </c>
    </row>
    <row r="27" spans="1:25" ht="14.25" customHeight="1" x14ac:dyDescent="0.3">
      <c r="A27" s="3" t="s">
        <v>283</v>
      </c>
      <c r="B27" s="13">
        <v>57.7</v>
      </c>
      <c r="C27" s="13">
        <v>56.1</v>
      </c>
      <c r="D27" s="13">
        <v>52.2</v>
      </c>
      <c r="E27" s="13">
        <v>50.8</v>
      </c>
      <c r="F27" s="13">
        <v>45.8</v>
      </c>
      <c r="G27" s="13">
        <v>44.1</v>
      </c>
      <c r="H27" s="13">
        <v>44.2</v>
      </c>
      <c r="I27" s="13">
        <v>41.9</v>
      </c>
      <c r="J27" s="13">
        <v>39.299999999999997</v>
      </c>
      <c r="K27" s="13">
        <v>37</v>
      </c>
      <c r="L27" s="13">
        <v>34.6</v>
      </c>
      <c r="M27" s="13">
        <v>36.299999999999997</v>
      </c>
      <c r="N27" s="13">
        <v>37.9</v>
      </c>
      <c r="O27" s="13">
        <v>37.4</v>
      </c>
      <c r="P27" s="13">
        <v>36.700000000000003</v>
      </c>
      <c r="Q27" s="13">
        <v>27.8</v>
      </c>
      <c r="R27" s="13">
        <v>26.8</v>
      </c>
      <c r="S27" s="13">
        <v>28.3</v>
      </c>
      <c r="T27" s="13">
        <v>24.3</v>
      </c>
      <c r="U27" s="13">
        <v>20.399999999999999</v>
      </c>
      <c r="V27" s="13">
        <v>18.899999999999999</v>
      </c>
      <c r="W27" s="13">
        <v>24.2</v>
      </c>
      <c r="X27" s="3"/>
      <c r="Y27" s="3">
        <f t="shared" si="0"/>
        <v>37.395454545454534</v>
      </c>
    </row>
    <row r="28" spans="1:25" ht="14.25" customHeight="1" x14ac:dyDescent="0.3">
      <c r="A28" s="3" t="s">
        <v>57</v>
      </c>
      <c r="B28" s="13">
        <v>90</v>
      </c>
      <c r="C28" s="13">
        <v>89.8</v>
      </c>
      <c r="D28" s="13">
        <v>89.6</v>
      </c>
      <c r="E28" s="13">
        <v>89.3</v>
      </c>
      <c r="F28" s="13">
        <v>89.4</v>
      </c>
      <c r="G28" s="13">
        <v>88.9</v>
      </c>
      <c r="H28" s="13">
        <v>89.7</v>
      </c>
      <c r="I28" s="13">
        <v>90.7</v>
      </c>
      <c r="J28" s="13">
        <v>89.8</v>
      </c>
      <c r="K28" s="13">
        <v>89.2</v>
      </c>
      <c r="L28" s="13">
        <v>89.2</v>
      </c>
      <c r="M28" s="13">
        <v>87.9</v>
      </c>
      <c r="N28" s="13">
        <v>85.4</v>
      </c>
      <c r="O28" s="13">
        <v>85.3</v>
      </c>
      <c r="P28" s="13">
        <v>84.6</v>
      </c>
      <c r="Q28" s="13">
        <v>84</v>
      </c>
      <c r="R28" s="13">
        <v>84</v>
      </c>
      <c r="S28" s="13">
        <v>83.5</v>
      </c>
      <c r="T28" s="13">
        <v>83.8</v>
      </c>
      <c r="U28" s="13">
        <v>86.1</v>
      </c>
      <c r="V28" s="13">
        <v>85.4</v>
      </c>
      <c r="W28" s="13">
        <v>83</v>
      </c>
      <c r="X28" s="3"/>
      <c r="Y28" s="3">
        <f t="shared" si="0"/>
        <v>87.209090909090918</v>
      </c>
    </row>
    <row r="29" spans="1:25" ht="14.2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row>
    <row r="30" spans="1:25" ht="14.2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row>
    <row r="31" spans="1:25" ht="14.2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row>
    <row r="32" spans="1:25" ht="14.25" customHeight="1" x14ac:dyDescent="0.3">
      <c r="A32" s="27"/>
      <c r="B32" s="27"/>
      <c r="C32" s="3"/>
      <c r="D32" s="3"/>
      <c r="E32" s="3"/>
      <c r="F32" s="3"/>
      <c r="G32" s="3"/>
      <c r="H32" s="3"/>
      <c r="I32" s="3"/>
      <c r="J32" s="3"/>
      <c r="K32" s="3"/>
      <c r="L32" s="3"/>
      <c r="M32" s="3"/>
      <c r="N32" s="3"/>
      <c r="O32" s="3"/>
      <c r="P32" s="3"/>
      <c r="Q32" s="3"/>
      <c r="R32" s="3"/>
      <c r="S32" s="3"/>
      <c r="T32" s="3"/>
      <c r="U32" s="3"/>
      <c r="V32" s="3"/>
      <c r="W32" s="3"/>
      <c r="X32" s="3"/>
      <c r="Y32" s="3"/>
    </row>
    <row r="33" spans="1:25" ht="14.25" customHeight="1" x14ac:dyDescent="0.3">
      <c r="B33" s="3"/>
      <c r="C33" s="3"/>
      <c r="D33" s="3"/>
      <c r="E33" s="3"/>
      <c r="F33" s="3"/>
      <c r="G33" s="3"/>
      <c r="H33" s="3"/>
      <c r="I33" s="3"/>
      <c r="J33" s="3"/>
      <c r="K33" s="3"/>
      <c r="L33" s="3"/>
      <c r="M33" s="3"/>
      <c r="N33" s="3"/>
      <c r="O33" s="3"/>
      <c r="P33" s="3"/>
      <c r="Q33" s="3"/>
      <c r="R33" s="3"/>
      <c r="S33" s="3"/>
      <c r="T33" s="3"/>
      <c r="U33" s="3"/>
      <c r="V33" s="3"/>
      <c r="W33" s="3"/>
      <c r="X33" s="3"/>
      <c r="Y33" s="3"/>
    </row>
    <row r="34" spans="1:25" ht="14.2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row>
    <row r="35" spans="1:25" ht="14.25" customHeight="1" x14ac:dyDescent="0.3"/>
    <row r="36" spans="1:25" ht="14.25" customHeight="1" x14ac:dyDescent="0.3"/>
    <row r="37" spans="1:25" ht="14.25" customHeight="1" x14ac:dyDescent="0.3"/>
    <row r="38" spans="1:25" ht="14.25" customHeight="1" x14ac:dyDescent="0.3"/>
    <row r="39" spans="1:25" ht="14.25" customHeight="1" x14ac:dyDescent="0.3"/>
    <row r="40" spans="1:25" ht="14.25" customHeight="1" x14ac:dyDescent="0.3"/>
    <row r="41" spans="1:25" ht="14.25" customHeight="1" x14ac:dyDescent="0.3"/>
    <row r="42" spans="1:25" ht="14.25" customHeight="1" x14ac:dyDescent="0.3"/>
    <row r="43" spans="1:25" ht="14.25" customHeight="1" x14ac:dyDescent="0.3"/>
    <row r="44" spans="1:25" ht="14.25" customHeight="1" x14ac:dyDescent="0.3"/>
    <row r="45" spans="1:25" ht="14.25" customHeight="1" x14ac:dyDescent="0.3"/>
    <row r="46" spans="1:25" ht="14.25" customHeight="1" x14ac:dyDescent="0.3"/>
    <row r="47" spans="1:25" ht="14.25" customHeight="1" x14ac:dyDescent="0.3"/>
    <row r="48" spans="1:25"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mergeCells count="2">
    <mergeCell ref="W1:X1"/>
    <mergeCell ref="A32:B32"/>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992"/>
  <sheetViews>
    <sheetView workbookViewId="0"/>
  </sheetViews>
  <sheetFormatPr defaultColWidth="14.44140625" defaultRowHeight="15" customHeight="1" x14ac:dyDescent="0.3"/>
  <cols>
    <col min="1" max="28" width="8.6640625" customWidth="1"/>
  </cols>
  <sheetData>
    <row r="1" spans="1:28" ht="14.25" customHeight="1" x14ac:dyDescent="0.3">
      <c r="A1" s="5" t="s">
        <v>277</v>
      </c>
      <c r="B1" s="18" t="s">
        <v>278</v>
      </c>
      <c r="C1" s="5" t="s">
        <v>279</v>
      </c>
      <c r="D1" s="18" t="s">
        <v>280</v>
      </c>
      <c r="E1" s="5" t="s">
        <v>78</v>
      </c>
      <c r="F1" s="5" t="s">
        <v>79</v>
      </c>
      <c r="G1" s="5" t="s">
        <v>80</v>
      </c>
      <c r="H1" s="5" t="s">
        <v>81</v>
      </c>
      <c r="I1" s="5" t="s">
        <v>82</v>
      </c>
      <c r="J1" s="5" t="s">
        <v>83</v>
      </c>
      <c r="K1" s="5" t="s">
        <v>84</v>
      </c>
      <c r="L1" s="5" t="s">
        <v>85</v>
      </c>
      <c r="M1" s="5" t="s">
        <v>86</v>
      </c>
      <c r="N1" s="5" t="s">
        <v>87</v>
      </c>
      <c r="O1" s="5" t="s">
        <v>88</v>
      </c>
      <c r="P1" s="5" t="s">
        <v>89</v>
      </c>
      <c r="Q1" s="5" t="s">
        <v>90</v>
      </c>
      <c r="R1" s="5" t="s">
        <v>91</v>
      </c>
      <c r="S1" s="5" t="s">
        <v>92</v>
      </c>
      <c r="T1" s="5" t="s">
        <v>93</v>
      </c>
      <c r="U1" s="5" t="s">
        <v>94</v>
      </c>
      <c r="V1" s="5" t="s">
        <v>95</v>
      </c>
      <c r="W1" s="5" t="s">
        <v>96</v>
      </c>
      <c r="X1" s="5" t="s">
        <v>97</v>
      </c>
      <c r="Y1" s="5" t="s">
        <v>98</v>
      </c>
      <c r="Z1" s="5" t="s">
        <v>99</v>
      </c>
      <c r="AB1" s="5" t="s">
        <v>100</v>
      </c>
    </row>
    <row r="2" spans="1:28" ht="14.25" customHeight="1" x14ac:dyDescent="0.3">
      <c r="A2" s="5" t="s">
        <v>286</v>
      </c>
      <c r="B2" s="18" t="s">
        <v>287</v>
      </c>
      <c r="C2" s="5" t="s">
        <v>4</v>
      </c>
      <c r="D2" s="18" t="s">
        <v>5</v>
      </c>
      <c r="E2" s="5">
        <v>3736444.4594369736</v>
      </c>
      <c r="F2" s="5">
        <v>3794145.8401744347</v>
      </c>
      <c r="G2" s="5">
        <v>4579054.7298037652</v>
      </c>
      <c r="H2" s="5">
        <v>4529217.3343602894</v>
      </c>
      <c r="I2" s="5">
        <v>5188677.9117384152</v>
      </c>
      <c r="J2" s="5">
        <v>6382750.4157551564</v>
      </c>
      <c r="K2" s="5">
        <v>7378030.5033298796</v>
      </c>
      <c r="L2" s="5">
        <v>8898538.815184176</v>
      </c>
      <c r="M2" s="5">
        <v>10197086.479999958</v>
      </c>
      <c r="N2" s="5">
        <v>9613777.8678737357</v>
      </c>
      <c r="O2" s="5">
        <v>9701331.7076966036</v>
      </c>
      <c r="P2" s="5">
        <v>9609642.2007829938</v>
      </c>
      <c r="Q2" s="5">
        <v>10475417.375452701</v>
      </c>
      <c r="R2" s="5">
        <v>10684000.305888647</v>
      </c>
      <c r="S2" s="5">
        <v>10894852.265123948</v>
      </c>
      <c r="T2" s="5">
        <v>10329169.991710855</v>
      </c>
      <c r="U2" s="5">
        <v>9126340.2683812585</v>
      </c>
      <c r="V2" s="5">
        <v>8477419.4639525432</v>
      </c>
      <c r="W2" s="5">
        <v>7704768.2032978833</v>
      </c>
      <c r="X2" s="5">
        <v>7099232.5733335614</v>
      </c>
      <c r="Y2" s="5">
        <v>5921320.5714853872</v>
      </c>
      <c r="Z2" s="5">
        <v>5690366.0649337433</v>
      </c>
      <c r="AB2" s="5">
        <f t="shared" ref="AB2:AB28" si="0">AVERAGE(E2:Z2)</f>
        <v>7727799.3340771338</v>
      </c>
    </row>
    <row r="3" spans="1:28" ht="14.25" customHeight="1" x14ac:dyDescent="0.3">
      <c r="A3" s="5" t="s">
        <v>286</v>
      </c>
      <c r="B3" s="18" t="s">
        <v>287</v>
      </c>
      <c r="C3" s="5" t="s">
        <v>7</v>
      </c>
      <c r="D3" s="18" t="s">
        <v>8</v>
      </c>
      <c r="E3" s="5">
        <v>385095.30042919482</v>
      </c>
      <c r="F3" s="5">
        <v>411251.48260381201</v>
      </c>
      <c r="G3" s="5">
        <v>429905.95433589845</v>
      </c>
      <c r="H3" s="5">
        <v>458093.77545921359</v>
      </c>
      <c r="I3" s="5">
        <v>493725.95614756801</v>
      </c>
      <c r="J3" s="5">
        <v>546422.13722750626</v>
      </c>
      <c r="K3" s="5">
        <v>607494.86679266521</v>
      </c>
      <c r="L3" s="5">
        <v>681463.83773918345</v>
      </c>
      <c r="M3" s="5">
        <v>750749.73890858493</v>
      </c>
      <c r="N3" s="5">
        <v>813116.31886045798</v>
      </c>
      <c r="O3" s="5">
        <v>890502.17641918105</v>
      </c>
      <c r="P3" s="5">
        <v>991179.43117847096</v>
      </c>
      <c r="Q3" s="5">
        <v>1103322.1016825121</v>
      </c>
      <c r="R3" s="5">
        <v>1216955.2763472819</v>
      </c>
      <c r="S3" s="5">
        <v>1344225.8316578132</v>
      </c>
      <c r="T3" s="5">
        <v>1499122.2442809104</v>
      </c>
      <c r="U3" s="5">
        <v>1689560.4039708069</v>
      </c>
      <c r="V3" s="5">
        <v>1887199.0562748467</v>
      </c>
      <c r="W3" s="5">
        <v>2138176.5322285863</v>
      </c>
      <c r="X3" s="5">
        <v>2446746.7437736648</v>
      </c>
      <c r="Y3" s="5">
        <v>2574952.725959314</v>
      </c>
      <c r="Z3" s="5">
        <v>2897077.2936645439</v>
      </c>
      <c r="AB3" s="5">
        <f t="shared" si="0"/>
        <v>1193469.9629973643</v>
      </c>
    </row>
    <row r="4" spans="1:28" ht="14.25" customHeight="1" x14ac:dyDescent="0.3">
      <c r="A4" s="5" t="s">
        <v>286</v>
      </c>
      <c r="B4" s="18" t="s">
        <v>287</v>
      </c>
      <c r="C4" s="5" t="s">
        <v>9</v>
      </c>
      <c r="D4" s="18" t="s">
        <v>10</v>
      </c>
      <c r="E4" s="5">
        <v>4056962.3399096769</v>
      </c>
      <c r="F4" s="5">
        <v>4055574.9402794815</v>
      </c>
      <c r="G4" s="5">
        <v>4119560.040996802</v>
      </c>
      <c r="H4" s="5">
        <v>4202792.4651068384</v>
      </c>
      <c r="I4" s="5">
        <v>4409961.3944047047</v>
      </c>
      <c r="J4" s="5">
        <v>4649141.0883685425</v>
      </c>
      <c r="K4" s="5">
        <v>4934738.9082536763</v>
      </c>
      <c r="L4" s="5">
        <v>5214040.3852476906</v>
      </c>
      <c r="M4" s="5">
        <v>5679882.1020042961</v>
      </c>
      <c r="N4" s="5">
        <v>5868873.4634096324</v>
      </c>
      <c r="O4" s="5">
        <v>6157380.7274214858</v>
      </c>
      <c r="P4" s="5">
        <v>6597297.6288928557</v>
      </c>
      <c r="Q4" s="5">
        <v>7060918.2848974038</v>
      </c>
      <c r="R4" s="5">
        <v>7803723.6399911204</v>
      </c>
      <c r="S4" s="5">
        <v>8415234.8174962644</v>
      </c>
      <c r="T4" s="5">
        <v>8976093.2852348518</v>
      </c>
      <c r="U4" s="5">
        <v>9471440.6428675</v>
      </c>
      <c r="V4" s="5">
        <v>9986637.8368905429</v>
      </c>
      <c r="W4" s="5">
        <v>10541478.691757336</v>
      </c>
      <c r="X4" s="5">
        <v>10708482.045117201</v>
      </c>
      <c r="Y4" s="5">
        <v>8701435.3548807539</v>
      </c>
      <c r="Z4" s="5">
        <v>9599776.5706602857</v>
      </c>
      <c r="AB4" s="5">
        <f t="shared" si="0"/>
        <v>6873246.6660949532</v>
      </c>
    </row>
    <row r="5" spans="1:28" ht="14.25" customHeight="1" x14ac:dyDescent="0.3">
      <c r="A5" s="5" t="s">
        <v>286</v>
      </c>
      <c r="B5" s="18" t="s">
        <v>287</v>
      </c>
      <c r="C5" s="5" t="s">
        <v>11</v>
      </c>
      <c r="D5" s="18" t="s">
        <v>12</v>
      </c>
      <c r="E5" s="5">
        <v>1325438.4844235831</v>
      </c>
      <c r="F5" s="5">
        <v>1368728.4942528401</v>
      </c>
      <c r="G5" s="5">
        <v>1416021.6490330261</v>
      </c>
      <c r="H5" s="5">
        <v>1491071.6836972618</v>
      </c>
      <c r="I5" s="5">
        <v>1617330.9415897497</v>
      </c>
      <c r="J5" s="5">
        <v>1599575.9998488533</v>
      </c>
      <c r="K5" s="5">
        <v>1631571.6916319169</v>
      </c>
      <c r="L5" s="5">
        <v>1678917.9813918623</v>
      </c>
      <c r="M5" s="5">
        <v>1677082.2725387216</v>
      </c>
      <c r="N5" s="5">
        <v>1666421.8121641045</v>
      </c>
      <c r="O5" s="5">
        <v>1666426.3588819511</v>
      </c>
      <c r="P5" s="5">
        <v>1683004.1452627932</v>
      </c>
      <c r="Q5" s="5">
        <v>1741527.896292377</v>
      </c>
      <c r="R5" s="5">
        <v>1814983.0389247201</v>
      </c>
      <c r="S5" s="5">
        <v>1909424.8115155632</v>
      </c>
      <c r="T5" s="5">
        <v>2002225.2748090993</v>
      </c>
      <c r="U5" s="5">
        <v>2060999.9241928644</v>
      </c>
      <c r="V5" s="5">
        <v>2087755.7449697731</v>
      </c>
      <c r="W5" s="5">
        <v>2134578.5637681284</v>
      </c>
      <c r="X5" s="5">
        <v>2161834.5881502833</v>
      </c>
      <c r="Y5" s="5">
        <v>2057845.1550908415</v>
      </c>
      <c r="Z5" s="5">
        <v>2083911.6746376979</v>
      </c>
      <c r="AB5" s="5">
        <f t="shared" si="0"/>
        <v>1767121.7357758186</v>
      </c>
    </row>
    <row r="6" spans="1:28" ht="14.25" customHeight="1" x14ac:dyDescent="0.3">
      <c r="A6" s="5" t="s">
        <v>286</v>
      </c>
      <c r="B6" s="18" t="s">
        <v>287</v>
      </c>
      <c r="C6" s="5" t="s">
        <v>101</v>
      </c>
      <c r="D6" s="18" t="s">
        <v>14</v>
      </c>
      <c r="E6" s="5">
        <v>4231328.0724183079</v>
      </c>
      <c r="F6" s="5">
        <v>4227814.7507825755</v>
      </c>
      <c r="G6" s="5">
        <v>4410708.8504944397</v>
      </c>
      <c r="H6" s="5">
        <v>4239015.0065439902</v>
      </c>
      <c r="I6" s="5">
        <v>4239003.4468023349</v>
      </c>
      <c r="J6" s="5">
        <v>4579757.7707295679</v>
      </c>
      <c r="K6" s="5">
        <v>4955179.97583724</v>
      </c>
      <c r="L6" s="5">
        <v>4016420.9770046021</v>
      </c>
      <c r="M6" s="5">
        <v>4250022.6193748219</v>
      </c>
      <c r="N6" s="5">
        <v>4889917.2304148041</v>
      </c>
      <c r="O6" s="5">
        <v>5439553.6970005706</v>
      </c>
      <c r="P6" s="5">
        <v>5324527.8400847511</v>
      </c>
      <c r="Q6" s="5">
        <v>6086390.1211479763</v>
      </c>
      <c r="R6" s="5">
        <v>5715243.5184392231</v>
      </c>
      <c r="S6" s="5">
        <v>6193534.0430115322</v>
      </c>
      <c r="T6" s="5">
        <v>5950437.662941684</v>
      </c>
      <c r="U6" s="5">
        <v>4727115.6470118109</v>
      </c>
      <c r="V6" s="5">
        <v>4013095.5438272706</v>
      </c>
      <c r="W6" s="5">
        <v>3647932.067901351</v>
      </c>
      <c r="X6" s="5">
        <v>3555151.0100160749</v>
      </c>
      <c r="Y6" s="5">
        <v>2977386.1422323789</v>
      </c>
      <c r="Z6" s="5">
        <v>2896091.261798366</v>
      </c>
      <c r="AB6" s="5">
        <f t="shared" si="0"/>
        <v>4571164.8752643485</v>
      </c>
    </row>
    <row r="7" spans="1:28" ht="14.25" customHeight="1" x14ac:dyDescent="0.3">
      <c r="A7" s="5" t="s">
        <v>286</v>
      </c>
      <c r="B7" s="18" t="s">
        <v>287</v>
      </c>
      <c r="C7" s="5" t="s">
        <v>282</v>
      </c>
      <c r="D7" s="18" t="s">
        <v>16</v>
      </c>
      <c r="E7" s="5">
        <v>2951365.4531055135</v>
      </c>
      <c r="F7" s="5">
        <v>2678371.7965781279</v>
      </c>
      <c r="G7" s="5">
        <v>2406467.3394916463</v>
      </c>
      <c r="H7" s="5">
        <v>2078176.0123448016</v>
      </c>
      <c r="I7" s="5">
        <v>2107913.3470985303</v>
      </c>
      <c r="J7" s="5">
        <v>2049859.9617982625</v>
      </c>
      <c r="K7" s="5">
        <v>2067195.6220804479</v>
      </c>
      <c r="L7" s="5">
        <v>2016893.8943813418</v>
      </c>
      <c r="M7" s="5">
        <v>2115940.6342742648</v>
      </c>
      <c r="N7" s="5">
        <v>2172435.3612256693</v>
      </c>
      <c r="O7" s="5">
        <v>2373230.4400531691</v>
      </c>
      <c r="P7" s="5">
        <v>2034801.3653055702</v>
      </c>
      <c r="Q7" s="5">
        <v>2260314.7860262012</v>
      </c>
      <c r="R7" s="5">
        <v>2664491.8523805146</v>
      </c>
      <c r="S7" s="5">
        <v>3036434.9524548678</v>
      </c>
      <c r="T7" s="5">
        <v>3293203.4189086147</v>
      </c>
      <c r="U7" s="5">
        <v>3569370.5281100962</v>
      </c>
      <c r="V7" s="5">
        <v>3891996.3328696974</v>
      </c>
      <c r="W7" s="5">
        <v>4053469.808293642</v>
      </c>
      <c r="X7" s="5">
        <v>4381067.372884389</v>
      </c>
      <c r="Y7" s="5">
        <v>4223373.6994511839</v>
      </c>
      <c r="Z7" s="5">
        <v>4607360.7347585727</v>
      </c>
      <c r="AB7" s="5">
        <f t="shared" si="0"/>
        <v>2865169.7597215963</v>
      </c>
    </row>
    <row r="8" spans="1:28" ht="14.25" customHeight="1" x14ac:dyDescent="0.3">
      <c r="A8" s="5" t="s">
        <v>286</v>
      </c>
      <c r="B8" s="18" t="s">
        <v>287</v>
      </c>
      <c r="C8" s="5" t="s">
        <v>102</v>
      </c>
      <c r="D8" s="18" t="s">
        <v>18</v>
      </c>
      <c r="E8" s="5">
        <v>6044755.0188380377</v>
      </c>
      <c r="F8" s="5">
        <v>6210235.5100300433</v>
      </c>
      <c r="G8" s="5">
        <v>6242408.3663029009</v>
      </c>
      <c r="H8" s="5">
        <v>6374639.1363444421</v>
      </c>
      <c r="I8" s="5">
        <v>6627655.9345867895</v>
      </c>
      <c r="J8" s="5">
        <v>6946930.5797885871</v>
      </c>
      <c r="K8" s="5">
        <v>7626567.7122183302</v>
      </c>
      <c r="L8" s="5">
        <v>8421984.7353831474</v>
      </c>
      <c r="M8" s="5">
        <v>9316004.0658016112</v>
      </c>
      <c r="N8" s="5">
        <v>9828830.7730330601</v>
      </c>
      <c r="O8" s="5">
        <v>10457754.858201319</v>
      </c>
      <c r="P8" s="5">
        <v>10383710.314961107</v>
      </c>
      <c r="Q8" s="5">
        <v>10374789.090626482</v>
      </c>
      <c r="R8" s="5">
        <v>10345089.94935015</v>
      </c>
      <c r="S8" s="5">
        <v>10469511.57027751</v>
      </c>
      <c r="T8" s="5">
        <v>10936127.263990046</v>
      </c>
      <c r="U8" s="5">
        <v>11432665.344715515</v>
      </c>
      <c r="V8" s="5">
        <v>11922584.791786864</v>
      </c>
      <c r="W8" s="5">
        <v>12735189.043349054</v>
      </c>
      <c r="X8" s="5">
        <v>13699211.844554182</v>
      </c>
      <c r="Y8" s="5">
        <v>14219456.625196746</v>
      </c>
      <c r="Z8" s="5">
        <v>14725024.193328973</v>
      </c>
      <c r="AB8" s="5">
        <f t="shared" si="0"/>
        <v>9788233.0328484047</v>
      </c>
    </row>
    <row r="9" spans="1:28" ht="14.25" customHeight="1" x14ac:dyDescent="0.3">
      <c r="A9" s="5" t="s">
        <v>286</v>
      </c>
      <c r="B9" s="18" t="s">
        <v>287</v>
      </c>
      <c r="C9" s="5" t="s">
        <v>19</v>
      </c>
      <c r="D9" s="18" t="s">
        <v>20</v>
      </c>
      <c r="E9" s="5">
        <v>1043745.0015093971</v>
      </c>
      <c r="F9" s="5">
        <v>1070359.4516086362</v>
      </c>
      <c r="G9" s="5">
        <v>1106304.8926026446</v>
      </c>
      <c r="H9" s="5">
        <v>1159990.5320243875</v>
      </c>
      <c r="I9" s="5">
        <v>1226809.5392454835</v>
      </c>
      <c r="J9" s="5">
        <v>1305533.7874558545</v>
      </c>
      <c r="K9" s="5">
        <v>1403105.0610805806</v>
      </c>
      <c r="L9" s="5">
        <v>1450979.7724334626</v>
      </c>
      <c r="M9" s="5">
        <v>1643101.3887519245</v>
      </c>
      <c r="N9" s="5">
        <v>1718231.9535317959</v>
      </c>
      <c r="O9" s="5">
        <v>1905414.5120031848</v>
      </c>
      <c r="P9" s="5">
        <v>2361939.8007439352</v>
      </c>
      <c r="Q9" s="5">
        <v>2688021.771082337</v>
      </c>
      <c r="R9" s="5">
        <v>2949897.1560260351</v>
      </c>
      <c r="S9" s="5">
        <v>2976638.9600461428</v>
      </c>
      <c r="T9" s="5">
        <v>2964249.6634857366</v>
      </c>
      <c r="U9" s="5">
        <v>3026648.6350421351</v>
      </c>
      <c r="V9" s="5">
        <v>3386701.3313307883</v>
      </c>
      <c r="W9" s="5">
        <v>3664391.4221450351</v>
      </c>
      <c r="X9" s="5">
        <v>3993235.3413197109</v>
      </c>
      <c r="Y9" s="5">
        <v>3876830.265008403</v>
      </c>
      <c r="Z9" s="5">
        <v>4115964.7864376106</v>
      </c>
      <c r="AB9" s="5">
        <f t="shared" si="0"/>
        <v>2319913.4102234193</v>
      </c>
    </row>
    <row r="10" spans="1:28" ht="14.25" customHeight="1" x14ac:dyDescent="0.3">
      <c r="A10" s="5" t="s">
        <v>286</v>
      </c>
      <c r="B10" s="18" t="s">
        <v>287</v>
      </c>
      <c r="C10" s="5" t="s">
        <v>21</v>
      </c>
      <c r="D10" s="18" t="s">
        <v>22</v>
      </c>
      <c r="E10" s="5">
        <v>1803366.7245461186</v>
      </c>
      <c r="F10" s="5">
        <v>1726896.1225984371</v>
      </c>
      <c r="G10" s="5">
        <v>1701796.9059927016</v>
      </c>
      <c r="H10" s="5">
        <v>1759526.9332558434</v>
      </c>
      <c r="I10" s="5">
        <v>1656118.8714241169</v>
      </c>
      <c r="J10" s="5">
        <v>1701284.6722243468</v>
      </c>
      <c r="K10" s="5">
        <v>1703124.5420419646</v>
      </c>
      <c r="L10" s="5">
        <v>1805290.8262567888</v>
      </c>
      <c r="M10" s="5">
        <v>1840184.4969555852</v>
      </c>
      <c r="N10" s="5">
        <v>1996276.6192770549</v>
      </c>
      <c r="O10" s="5">
        <v>1736027.316140421</v>
      </c>
      <c r="P10" s="5">
        <v>1874624.3326181304</v>
      </c>
      <c r="Q10" s="5">
        <v>1835714.6130930518</v>
      </c>
      <c r="R10" s="5">
        <v>1938727.7658343541</v>
      </c>
      <c r="S10" s="5">
        <v>1993089.8684754607</v>
      </c>
      <c r="T10" s="5">
        <v>1991278.9796448762</v>
      </c>
      <c r="U10" s="5">
        <v>2007177.2155626509</v>
      </c>
      <c r="V10" s="5">
        <v>2052549.8793458394</v>
      </c>
      <c r="W10" s="5">
        <v>2065982.2646906013</v>
      </c>
      <c r="X10" s="5">
        <v>1944410.3176621106</v>
      </c>
      <c r="Y10" s="5">
        <v>1773418.9907585236</v>
      </c>
      <c r="Z10" s="5">
        <v>1671123.8340098395</v>
      </c>
      <c r="AB10" s="5">
        <f t="shared" si="0"/>
        <v>1844454.1860185827</v>
      </c>
    </row>
    <row r="11" spans="1:28" ht="14.25" customHeight="1" x14ac:dyDescent="0.3">
      <c r="A11" s="5" t="s">
        <v>286</v>
      </c>
      <c r="B11" s="18" t="s">
        <v>287</v>
      </c>
      <c r="C11" s="5" t="s">
        <v>23</v>
      </c>
      <c r="D11" s="18" t="s">
        <v>24</v>
      </c>
      <c r="E11" s="5">
        <v>3202231.4592519403</v>
      </c>
      <c r="F11" s="5">
        <v>3201194.2730334569</v>
      </c>
      <c r="G11" s="5">
        <v>3268766.5693160729</v>
      </c>
      <c r="H11" s="5">
        <v>3394060.0791994152</v>
      </c>
      <c r="I11" s="5">
        <v>3643935.4811168872</v>
      </c>
      <c r="J11" s="5">
        <v>3904008.8261293215</v>
      </c>
      <c r="K11" s="5">
        <v>4229335.8553485218</v>
      </c>
      <c r="L11" s="5">
        <v>4554790.0326768663</v>
      </c>
      <c r="M11" s="5">
        <v>4731264.8806699375</v>
      </c>
      <c r="N11" s="5">
        <v>4311057.398100202</v>
      </c>
      <c r="O11" s="5">
        <v>4445659.0014826683</v>
      </c>
      <c r="P11" s="5">
        <v>4599148.9829573659</v>
      </c>
      <c r="Q11" s="5">
        <v>4789067.372140035</v>
      </c>
      <c r="R11" s="5">
        <v>4863794.7497231923</v>
      </c>
      <c r="S11" s="5">
        <v>4969545.4074786212</v>
      </c>
      <c r="T11" s="5">
        <v>5158361.5218984308</v>
      </c>
      <c r="U11" s="5">
        <v>5362604.6482472476</v>
      </c>
      <c r="V11" s="5">
        <v>5680471.5495010847</v>
      </c>
      <c r="W11" s="5">
        <v>5905556.2960021179</v>
      </c>
      <c r="X11" s="5">
        <v>5990826.495933326</v>
      </c>
      <c r="Y11" s="5">
        <v>4793611.110648171</v>
      </c>
      <c r="Z11" s="5">
        <v>5874643.3153645517</v>
      </c>
      <c r="AB11" s="5">
        <f t="shared" si="0"/>
        <v>4585178.877555429</v>
      </c>
    </row>
    <row r="12" spans="1:28" ht="14.25" customHeight="1" x14ac:dyDescent="0.3">
      <c r="A12" s="5" t="s">
        <v>286</v>
      </c>
      <c r="B12" s="18" t="s">
        <v>287</v>
      </c>
      <c r="C12" s="5" t="s">
        <v>25</v>
      </c>
      <c r="D12" s="18" t="s">
        <v>26</v>
      </c>
      <c r="E12" s="5">
        <v>572601.10937573004</v>
      </c>
      <c r="F12" s="5">
        <v>606073.73686609196</v>
      </c>
      <c r="G12" s="5">
        <v>629826.21721822803</v>
      </c>
      <c r="H12" s="5">
        <v>707750.17845173716</v>
      </c>
      <c r="I12" s="5">
        <v>796728.71636255539</v>
      </c>
      <c r="J12" s="5">
        <v>898197.01598722429</v>
      </c>
      <c r="K12" s="5">
        <v>1016533.2851048189</v>
      </c>
      <c r="L12" s="5">
        <v>1143289.0788557339</v>
      </c>
      <c r="M12" s="5">
        <v>1180495.402152</v>
      </c>
      <c r="N12" s="5">
        <v>1334259.7819625824</v>
      </c>
      <c r="O12" s="5">
        <v>1525618.7220141916</v>
      </c>
      <c r="P12" s="5">
        <v>1642525.5853368035</v>
      </c>
      <c r="Q12" s="5">
        <v>1777145.6532944804</v>
      </c>
      <c r="R12" s="5">
        <v>1958470.9328169606</v>
      </c>
      <c r="S12" s="5">
        <v>2203195.1955821477</v>
      </c>
      <c r="T12" s="5">
        <v>2509050.1679683472</v>
      </c>
      <c r="U12" s="5">
        <v>2871212.8214635588</v>
      </c>
      <c r="V12" s="5">
        <v>3199439.473377354</v>
      </c>
      <c r="W12" s="5">
        <v>3547036.3280412634</v>
      </c>
      <c r="X12" s="5">
        <v>3748214.7838752074</v>
      </c>
      <c r="Y12" s="5">
        <v>3263446.2453967379</v>
      </c>
      <c r="Z12" s="5">
        <v>3862441.1728436197</v>
      </c>
      <c r="AB12" s="5">
        <f t="shared" si="0"/>
        <v>1863343.2547430627</v>
      </c>
    </row>
    <row r="13" spans="1:28" ht="14.25" customHeight="1" x14ac:dyDescent="0.3">
      <c r="A13" s="5" t="s">
        <v>286</v>
      </c>
      <c r="B13" s="18" t="s">
        <v>287</v>
      </c>
      <c r="C13" s="5" t="s">
        <v>27</v>
      </c>
      <c r="D13" s="18" t="s">
        <v>28</v>
      </c>
      <c r="E13" s="5">
        <v>11642267.625991289</v>
      </c>
      <c r="F13" s="5">
        <v>12381716.6478655</v>
      </c>
      <c r="G13" s="5">
        <v>13283286.626687411</v>
      </c>
      <c r="H13" s="5">
        <v>13787497.299320621</v>
      </c>
      <c r="I13" s="5">
        <v>15485460.987973161</v>
      </c>
      <c r="J13" s="5">
        <v>17235891.582470302</v>
      </c>
      <c r="K13" s="5">
        <v>17722993.967264608</v>
      </c>
      <c r="L13" s="5">
        <v>18381389.728984479</v>
      </c>
      <c r="M13" s="5">
        <v>20159699.991234772</v>
      </c>
      <c r="N13" s="5">
        <v>21300354.212751456</v>
      </c>
      <c r="O13" s="5">
        <v>21358948.875591617</v>
      </c>
      <c r="P13" s="5">
        <v>21452432.188190471</v>
      </c>
      <c r="Q13" s="5">
        <v>21878783.038135607</v>
      </c>
      <c r="R13" s="5">
        <v>20761876.671713509</v>
      </c>
      <c r="S13" s="5">
        <v>18336540.804905243</v>
      </c>
      <c r="T13" s="5">
        <v>16343882.390123758</v>
      </c>
      <c r="U13" s="5">
        <v>15469645.686329169</v>
      </c>
      <c r="V13" s="5">
        <v>15529132.188266717</v>
      </c>
      <c r="W13" s="5">
        <v>15435235.820387004</v>
      </c>
      <c r="X13" s="5">
        <v>15359064.745812312</v>
      </c>
      <c r="Y13" s="5">
        <v>14492331.478404919</v>
      </c>
      <c r="Z13" s="5">
        <v>15010410.307826197</v>
      </c>
      <c r="AB13" s="5">
        <f t="shared" si="0"/>
        <v>16945856.493919551</v>
      </c>
    </row>
    <row r="14" spans="1:28" ht="14.25" customHeight="1" x14ac:dyDescent="0.3">
      <c r="A14" s="5" t="s">
        <v>286</v>
      </c>
      <c r="B14" s="18" t="s">
        <v>287</v>
      </c>
      <c r="C14" s="5" t="s">
        <v>29</v>
      </c>
      <c r="D14" s="18" t="s">
        <v>30</v>
      </c>
      <c r="E14" s="5">
        <v>1429012.1652975744</v>
      </c>
      <c r="F14" s="5">
        <v>1445509.6303250683</v>
      </c>
      <c r="G14" s="5">
        <v>1372239.4632536843</v>
      </c>
      <c r="H14" s="5">
        <v>1366898.4801324017</v>
      </c>
      <c r="I14" s="5">
        <v>1419087.131398224</v>
      </c>
      <c r="J14" s="5">
        <v>1496823.5031786805</v>
      </c>
      <c r="K14" s="5">
        <v>1596537.4928496052</v>
      </c>
      <c r="L14" s="5">
        <v>1715866.6431768131</v>
      </c>
      <c r="M14" s="5">
        <v>1622495.7729713309</v>
      </c>
      <c r="N14" s="5">
        <v>1630052.3492408623</v>
      </c>
      <c r="O14" s="5">
        <v>1796041.3536748989</v>
      </c>
      <c r="P14" s="5">
        <v>1878489.5603709507</v>
      </c>
      <c r="Q14" s="5">
        <v>1949658.6806518512</v>
      </c>
      <c r="R14" s="5">
        <v>1999230.3539696392</v>
      </c>
      <c r="S14" s="5">
        <v>2104221.15996825</v>
      </c>
      <c r="T14" s="5">
        <v>2217477.1764711444</v>
      </c>
      <c r="U14" s="5">
        <v>2304257.0887987833</v>
      </c>
      <c r="V14" s="5">
        <v>2378805.7034069239</v>
      </c>
      <c r="W14" s="5">
        <v>2549420.422338882</v>
      </c>
      <c r="X14" s="5">
        <v>2708360.1460490562</v>
      </c>
      <c r="Y14" s="5">
        <v>2589956.3766891425</v>
      </c>
      <c r="Z14" s="5">
        <v>2886246.8805248975</v>
      </c>
      <c r="AB14" s="5">
        <f t="shared" si="0"/>
        <v>1929849.4333972118</v>
      </c>
    </row>
    <row r="15" spans="1:28" ht="14.25" customHeight="1" x14ac:dyDescent="0.3">
      <c r="A15" s="5" t="s">
        <v>286</v>
      </c>
      <c r="B15" s="18" t="s">
        <v>287</v>
      </c>
      <c r="C15" s="5" t="s">
        <v>31</v>
      </c>
      <c r="D15" s="18" t="s">
        <v>32</v>
      </c>
      <c r="E15" s="5">
        <v>35509423.184368797</v>
      </c>
      <c r="F15" s="5">
        <v>37036479.819061533</v>
      </c>
      <c r="G15" s="5">
        <v>38529845.03981407</v>
      </c>
      <c r="H15" s="5">
        <v>39939431.968088053</v>
      </c>
      <c r="I15" s="5">
        <v>44006673.292974122</v>
      </c>
      <c r="J15" s="5">
        <v>44986266.857070029</v>
      </c>
      <c r="K15" s="5">
        <v>44841428.524710774</v>
      </c>
      <c r="L15" s="5">
        <v>51542997.514017016</v>
      </c>
      <c r="M15" s="5">
        <v>59309994.431710698</v>
      </c>
      <c r="N15" s="5">
        <v>70148807.82349202</v>
      </c>
      <c r="O15" s="5">
        <v>80201756.905923158</v>
      </c>
      <c r="P15" s="5">
        <v>79855675.348250285</v>
      </c>
      <c r="Q15" s="5">
        <v>79580774.309806719</v>
      </c>
      <c r="R15" s="5">
        <v>71293343.503503054</v>
      </c>
      <c r="S15" s="5">
        <v>61315400.815801673</v>
      </c>
      <c r="T15" s="5">
        <v>59507493.090254843</v>
      </c>
      <c r="U15" s="5">
        <v>64306633.465829127</v>
      </c>
      <c r="V15" s="5">
        <v>68982560.370750532</v>
      </c>
      <c r="W15" s="5">
        <v>70370682.167215705</v>
      </c>
      <c r="X15" s="5">
        <v>65028881.986945532</v>
      </c>
      <c r="Y15" s="5">
        <v>41484270.876666151</v>
      </c>
      <c r="Z15" s="5">
        <v>35681738.59870144</v>
      </c>
      <c r="AB15" s="5">
        <f t="shared" si="0"/>
        <v>56520934.54067979</v>
      </c>
    </row>
    <row r="16" spans="1:28" ht="14.25" customHeight="1" x14ac:dyDescent="0.3">
      <c r="A16" s="5" t="s">
        <v>286</v>
      </c>
      <c r="B16" s="18" t="s">
        <v>287</v>
      </c>
      <c r="C16" s="5" t="s">
        <v>33</v>
      </c>
      <c r="D16" s="18" t="s">
        <v>34</v>
      </c>
      <c r="E16" s="5">
        <v>3830402.292931159</v>
      </c>
      <c r="F16" s="5">
        <v>4322099.8971477356</v>
      </c>
      <c r="G16" s="5">
        <v>4526286.3757825708</v>
      </c>
      <c r="H16" s="5">
        <v>4971009.9061927795</v>
      </c>
      <c r="I16" s="5">
        <v>5294977.3909664983</v>
      </c>
      <c r="J16" s="5">
        <v>5485689.0376303196</v>
      </c>
      <c r="K16" s="5">
        <v>6200064.7412610902</v>
      </c>
      <c r="L16" s="5">
        <v>6454725.7691383362</v>
      </c>
      <c r="M16" s="5">
        <v>7015006.1750679873</v>
      </c>
      <c r="N16" s="5">
        <v>7347712.895399332</v>
      </c>
      <c r="O16" s="5">
        <v>7656522.7376237791</v>
      </c>
      <c r="P16" s="5">
        <v>8291746.6184884002</v>
      </c>
      <c r="Q16" s="5">
        <v>8569966.0754543245</v>
      </c>
      <c r="R16" s="5">
        <v>9049180.2844276428</v>
      </c>
      <c r="S16" s="5">
        <v>9311401.9333229065</v>
      </c>
      <c r="T16" s="5">
        <v>9898875.2362109143</v>
      </c>
      <c r="U16" s="5">
        <v>9762031.885744663</v>
      </c>
      <c r="V16" s="5">
        <v>10514741.972723098</v>
      </c>
      <c r="W16" s="5">
        <v>10921120.834946632</v>
      </c>
      <c r="X16" s="5">
        <v>11321471.916003797</v>
      </c>
      <c r="Y16" s="5">
        <v>9553627.4940854032</v>
      </c>
      <c r="Z16" s="5">
        <v>10950347.044467926</v>
      </c>
      <c r="AB16" s="5">
        <f t="shared" si="0"/>
        <v>7784045.8415916944</v>
      </c>
    </row>
    <row r="17" spans="1:28" ht="14.25" customHeight="1" x14ac:dyDescent="0.3">
      <c r="A17" s="5" t="s">
        <v>286</v>
      </c>
      <c r="B17" s="18" t="s">
        <v>287</v>
      </c>
      <c r="C17" s="5" t="s">
        <v>35</v>
      </c>
      <c r="D17" s="18" t="s">
        <v>36</v>
      </c>
      <c r="E17" s="5">
        <v>89156.265493842177</v>
      </c>
      <c r="F17" s="5">
        <v>108223.8089250403</v>
      </c>
      <c r="G17" s="5">
        <v>133119.75493395186</v>
      </c>
      <c r="H17" s="5">
        <v>169331.23287368723</v>
      </c>
      <c r="I17" s="5">
        <v>214674.81466176026</v>
      </c>
      <c r="J17" s="5">
        <v>272587.93466406182</v>
      </c>
      <c r="K17" s="5">
        <v>343496.30699849373</v>
      </c>
      <c r="L17" s="5">
        <v>424751.64212585066</v>
      </c>
      <c r="M17" s="5">
        <v>510682.34327597421</v>
      </c>
      <c r="N17" s="5">
        <v>617222.12249577092</v>
      </c>
      <c r="O17" s="5">
        <v>730909.54196586297</v>
      </c>
      <c r="P17" s="5">
        <v>801942.70705826685</v>
      </c>
      <c r="Q17" s="5">
        <v>908443.6092942456</v>
      </c>
      <c r="R17" s="5">
        <v>1049990.8354260307</v>
      </c>
      <c r="S17" s="5">
        <v>1208337.1022226254</v>
      </c>
      <c r="T17" s="5">
        <v>1361266.0227097557</v>
      </c>
      <c r="U17" s="5">
        <v>1501554.0360345533</v>
      </c>
      <c r="V17" s="5">
        <v>1665555.6710588436</v>
      </c>
      <c r="W17" s="5">
        <v>1853868.2699866337</v>
      </c>
      <c r="X17" s="5">
        <v>2076451.8410828281</v>
      </c>
      <c r="Y17" s="5">
        <v>1693417.7713528632</v>
      </c>
      <c r="Z17" s="5">
        <v>1292759.132088776</v>
      </c>
      <c r="AB17" s="5">
        <f t="shared" si="0"/>
        <v>864897.39848771458</v>
      </c>
    </row>
    <row r="18" spans="1:28" ht="14.25" customHeight="1" x14ac:dyDescent="0.3">
      <c r="A18" s="5" t="s">
        <v>286</v>
      </c>
      <c r="B18" s="18" t="s">
        <v>287</v>
      </c>
      <c r="C18" s="5" t="s">
        <v>37</v>
      </c>
      <c r="D18" s="18" t="s">
        <v>38</v>
      </c>
      <c r="E18" s="5">
        <v>2126867.9738971186</v>
      </c>
      <c r="F18" s="5">
        <v>2197269.2446376667</v>
      </c>
      <c r="G18" s="5">
        <v>2177070.8543853885</v>
      </c>
      <c r="H18" s="5">
        <v>2234905.1646856251</v>
      </c>
      <c r="I18" s="5">
        <v>2420756.7937202393</v>
      </c>
      <c r="J18" s="5">
        <v>2564775.6854886687</v>
      </c>
      <c r="K18" s="5">
        <v>2703985.755486005</v>
      </c>
      <c r="L18" s="5">
        <v>2900915.9433345692</v>
      </c>
      <c r="M18" s="5">
        <v>3015922.9394301521</v>
      </c>
      <c r="N18" s="5">
        <v>2741436.6124980743</v>
      </c>
      <c r="O18" s="5">
        <v>2904910.2251525559</v>
      </c>
      <c r="P18" s="5">
        <v>3192092.9916413287</v>
      </c>
      <c r="Q18" s="5">
        <v>3520082.2505404106</v>
      </c>
      <c r="R18" s="5">
        <v>3769231.392680007</v>
      </c>
      <c r="S18" s="5">
        <v>4026695.7744009611</v>
      </c>
      <c r="T18" s="5">
        <v>4303361.3257000437</v>
      </c>
      <c r="U18" s="5">
        <v>4580191.9987354968</v>
      </c>
      <c r="V18" s="5">
        <v>4882574.3906952972</v>
      </c>
      <c r="W18" s="5">
        <v>4440938.6246066019</v>
      </c>
      <c r="X18" s="5">
        <v>4080097.6629910935</v>
      </c>
      <c r="Y18" s="5">
        <v>3840770.2187427538</v>
      </c>
      <c r="Z18" s="5">
        <v>4562939.6752290502</v>
      </c>
      <c r="AB18" s="5">
        <f t="shared" si="0"/>
        <v>3326717.8863035957</v>
      </c>
    </row>
    <row r="19" spans="1:28" ht="14.25" customHeight="1" x14ac:dyDescent="0.3">
      <c r="A19" s="5" t="s">
        <v>286</v>
      </c>
      <c r="B19" s="18" t="s">
        <v>287</v>
      </c>
      <c r="C19" s="5" t="s">
        <v>39</v>
      </c>
      <c r="D19" s="18" t="s">
        <v>40</v>
      </c>
      <c r="E19" s="5">
        <v>2021173.679832367</v>
      </c>
      <c r="F19" s="5">
        <v>2147564.8150646258</v>
      </c>
      <c r="G19" s="5">
        <v>2704035.5368707185</v>
      </c>
      <c r="H19" s="5">
        <v>2948825.6771928417</v>
      </c>
      <c r="I19" s="5">
        <v>3329904.8741016565</v>
      </c>
      <c r="J19" s="5">
        <v>3569272.1871890849</v>
      </c>
      <c r="K19" s="5">
        <v>3799219.123385753</v>
      </c>
      <c r="L19" s="5">
        <v>4083766.6726585221</v>
      </c>
      <c r="M19" s="5">
        <v>4402793.1940103406</v>
      </c>
      <c r="N19" s="5">
        <v>4860293.1533723352</v>
      </c>
      <c r="O19" s="5">
        <v>5361386.340266997</v>
      </c>
      <c r="P19" s="5">
        <v>5621529.899842212</v>
      </c>
      <c r="Q19" s="5">
        <v>5777551.9698838498</v>
      </c>
      <c r="R19" s="5">
        <v>6226727.0343558593</v>
      </c>
      <c r="S19" s="5">
        <v>6675069.4113834146</v>
      </c>
      <c r="T19" s="5">
        <v>6686018.2849107422</v>
      </c>
      <c r="U19" s="5">
        <v>6159405.2152508814</v>
      </c>
      <c r="V19" s="5">
        <v>5961959.2687295964</v>
      </c>
      <c r="W19" s="5">
        <v>5913547.0540036391</v>
      </c>
      <c r="X19" s="5">
        <v>5912363.840886116</v>
      </c>
      <c r="Y19" s="5">
        <v>5464260.9661492938</v>
      </c>
      <c r="Z19" s="5">
        <v>5629103.3267308194</v>
      </c>
      <c r="AB19" s="5">
        <f t="shared" si="0"/>
        <v>4784353.2511850754</v>
      </c>
    </row>
    <row r="20" spans="1:28" ht="14.25" customHeight="1" x14ac:dyDescent="0.3">
      <c r="A20" s="5" t="s">
        <v>286</v>
      </c>
      <c r="B20" s="18" t="s">
        <v>287</v>
      </c>
      <c r="C20" s="5" t="s">
        <v>41</v>
      </c>
      <c r="D20" s="18" t="s">
        <v>42</v>
      </c>
      <c r="E20" s="5">
        <v>1101539.0329160523</v>
      </c>
      <c r="F20" s="5">
        <v>1119084.0237053144</v>
      </c>
      <c r="G20" s="5">
        <v>1121569.3440405421</v>
      </c>
      <c r="H20" s="5">
        <v>1188700.0988206777</v>
      </c>
      <c r="I20" s="5">
        <v>1315600.5774242319</v>
      </c>
      <c r="J20" s="5">
        <v>1442962.146566492</v>
      </c>
      <c r="K20" s="5">
        <v>1547390.2713821719</v>
      </c>
      <c r="L20" s="5">
        <v>1601124.9852629805</v>
      </c>
      <c r="M20" s="5">
        <v>1582694.5562833189</v>
      </c>
      <c r="N20" s="5">
        <v>1610549.6326389862</v>
      </c>
      <c r="O20" s="5">
        <v>1579281.8756748664</v>
      </c>
      <c r="P20" s="5">
        <v>1592219.034906443</v>
      </c>
      <c r="Q20" s="5">
        <v>1626869.814134978</v>
      </c>
      <c r="R20" s="5">
        <v>1715316.1972132812</v>
      </c>
      <c r="S20" s="5">
        <v>1804475.7950604756</v>
      </c>
      <c r="T20" s="5">
        <v>1905697.9962334794</v>
      </c>
      <c r="U20" s="5">
        <v>2108845.8709499887</v>
      </c>
      <c r="V20" s="5">
        <v>2235808.0756668309</v>
      </c>
      <c r="W20" s="5">
        <v>2438849.7264790493</v>
      </c>
      <c r="X20" s="5">
        <v>2476950.5721811508</v>
      </c>
      <c r="Y20" s="5">
        <v>2328694.235317775</v>
      </c>
      <c r="Z20" s="5">
        <v>2544114.0711755739</v>
      </c>
      <c r="AB20" s="5">
        <f t="shared" si="0"/>
        <v>1726742.6333652118</v>
      </c>
    </row>
    <row r="21" spans="1:28" ht="14.25" customHeight="1" x14ac:dyDescent="0.3">
      <c r="A21" s="5" t="s">
        <v>286</v>
      </c>
      <c r="B21" s="18" t="s">
        <v>287</v>
      </c>
      <c r="C21" s="5" t="s">
        <v>43</v>
      </c>
      <c r="D21" s="18" t="s">
        <v>44</v>
      </c>
      <c r="E21" s="5">
        <v>3958423.8891209844</v>
      </c>
      <c r="F21" s="5">
        <v>3689395.9578133742</v>
      </c>
      <c r="G21" s="5">
        <v>3438867.2958145137</v>
      </c>
      <c r="H21" s="5">
        <v>3358711.2289592843</v>
      </c>
      <c r="I21" s="5">
        <v>3319127.9879107871</v>
      </c>
      <c r="J21" s="5">
        <v>3518710.9324118313</v>
      </c>
      <c r="K21" s="5">
        <v>3668124.87761387</v>
      </c>
      <c r="L21" s="5">
        <v>4003891.4206626876</v>
      </c>
      <c r="M21" s="5">
        <v>3740479.8373175594</v>
      </c>
      <c r="N21" s="5">
        <v>4012974.8937930786</v>
      </c>
      <c r="O21" s="5">
        <v>4581780.4498504996</v>
      </c>
      <c r="P21" s="5">
        <v>4418538.195248181</v>
      </c>
      <c r="Q21" s="5">
        <v>4577378.8064619983</v>
      </c>
      <c r="R21" s="5">
        <v>4674702.0350536481</v>
      </c>
      <c r="S21" s="5">
        <v>5718592.1410903828</v>
      </c>
      <c r="T21" s="5">
        <v>6173218.9720471986</v>
      </c>
      <c r="U21" s="5">
        <v>6538732.9483109079</v>
      </c>
      <c r="V21" s="5">
        <v>6681647.852414812</v>
      </c>
      <c r="W21" s="5">
        <v>6342635.7002950292</v>
      </c>
      <c r="X21" s="5">
        <v>6618074.1104695676</v>
      </c>
      <c r="Y21" s="5">
        <v>5946825.4594857991</v>
      </c>
      <c r="Z21" s="5">
        <v>5656651.8537704563</v>
      </c>
      <c r="AB21" s="5">
        <f t="shared" si="0"/>
        <v>4756249.402087111</v>
      </c>
    </row>
    <row r="22" spans="1:28" ht="14.25" customHeight="1" x14ac:dyDescent="0.3">
      <c r="A22" s="5" t="s">
        <v>286</v>
      </c>
      <c r="B22" s="18" t="s">
        <v>287</v>
      </c>
      <c r="C22" s="5" t="s">
        <v>45</v>
      </c>
      <c r="D22" s="18" t="s">
        <v>46</v>
      </c>
      <c r="E22" s="5">
        <v>3216095.6454957887</v>
      </c>
      <c r="F22" s="5">
        <v>3267811.5586878918</v>
      </c>
      <c r="G22" s="5">
        <v>3375503.3369408445</v>
      </c>
      <c r="H22" s="5">
        <v>3582773.6852460392</v>
      </c>
      <c r="I22" s="5">
        <v>3913848.5093771336</v>
      </c>
      <c r="J22" s="5">
        <v>4152945.3598912708</v>
      </c>
      <c r="K22" s="5">
        <v>4453874.4669119855</v>
      </c>
      <c r="L22" s="5">
        <v>4881212.0053317416</v>
      </c>
      <c r="M22" s="5">
        <v>5129981.7003070973</v>
      </c>
      <c r="N22" s="5">
        <v>5092810.2010143828</v>
      </c>
      <c r="O22" s="5">
        <v>5631808.2720381189</v>
      </c>
      <c r="P22" s="5">
        <v>5840690.8132239329</v>
      </c>
      <c r="Q22" s="5">
        <v>6419845.5819678465</v>
      </c>
      <c r="R22" s="5">
        <v>7045919.3610225646</v>
      </c>
      <c r="S22" s="5">
        <v>7711285.0150168883</v>
      </c>
      <c r="T22" s="5">
        <v>8467274.6285552699</v>
      </c>
      <c r="U22" s="5">
        <v>9463851.9143220074</v>
      </c>
      <c r="V22" s="5">
        <v>10545934.022200018</v>
      </c>
      <c r="W22" s="5">
        <v>11634487.669664815</v>
      </c>
      <c r="X22" s="5">
        <v>12786929.998921486</v>
      </c>
      <c r="Y22" s="5">
        <v>10231469.938066613</v>
      </c>
      <c r="Z22" s="5">
        <v>11229039.321636092</v>
      </c>
      <c r="AB22" s="5">
        <f t="shared" si="0"/>
        <v>6730699.6820836272</v>
      </c>
    </row>
    <row r="23" spans="1:28" ht="14.25" customHeight="1" x14ac:dyDescent="0.3">
      <c r="A23" s="5" t="s">
        <v>286</v>
      </c>
      <c r="B23" s="18" t="s">
        <v>287</v>
      </c>
      <c r="C23" s="5" t="s">
        <v>47</v>
      </c>
      <c r="D23" s="18" t="s">
        <v>48</v>
      </c>
      <c r="E23" s="5">
        <v>1099089.596567997</v>
      </c>
      <c r="F23" s="5">
        <v>1139276.2950514564</v>
      </c>
      <c r="G23" s="5">
        <v>1086295.6923147128</v>
      </c>
      <c r="H23" s="5">
        <v>1154304.8143157032</v>
      </c>
      <c r="I23" s="5">
        <v>1206044.6576893635</v>
      </c>
      <c r="J23" s="5">
        <v>1252274.0903826095</v>
      </c>
      <c r="K23" s="5">
        <v>1251675.4973157416</v>
      </c>
      <c r="L23" s="5">
        <v>1263372.9012077386</v>
      </c>
      <c r="M23" s="5">
        <v>1296566.7255976817</v>
      </c>
      <c r="N23" s="5">
        <v>1305656.2722578407</v>
      </c>
      <c r="O23" s="5">
        <v>1330641.4071521852</v>
      </c>
      <c r="P23" s="5">
        <v>1299017.477243185</v>
      </c>
      <c r="Q23" s="5">
        <v>1331847.0512877956</v>
      </c>
      <c r="R23" s="5">
        <v>1316494.4533591939</v>
      </c>
      <c r="S23" s="5">
        <v>1394285.5955462051</v>
      </c>
      <c r="T23" s="5">
        <v>1483538.9462481083</v>
      </c>
      <c r="U23" s="5">
        <v>1581077.567204006</v>
      </c>
      <c r="V23" s="5">
        <v>1721630.8879960903</v>
      </c>
      <c r="W23" s="5">
        <v>1836285.4636434657</v>
      </c>
      <c r="X23" s="5">
        <v>1903320.3099707593</v>
      </c>
      <c r="Y23" s="5">
        <v>1854475.9192114328</v>
      </c>
      <c r="Z23" s="5">
        <v>2000922.028006135</v>
      </c>
      <c r="AB23" s="5">
        <f t="shared" si="0"/>
        <v>1414004.2567986092</v>
      </c>
    </row>
    <row r="24" spans="1:28" ht="14.25" customHeight="1" x14ac:dyDescent="0.3">
      <c r="A24" s="5" t="s">
        <v>286</v>
      </c>
      <c r="B24" s="18" t="s">
        <v>287</v>
      </c>
      <c r="C24" s="5" t="s">
        <v>49</v>
      </c>
      <c r="D24" s="18" t="s">
        <v>50</v>
      </c>
      <c r="E24" s="5">
        <v>3834148.0437311963</v>
      </c>
      <c r="F24" s="5">
        <v>3600929.3866911498</v>
      </c>
      <c r="G24" s="5">
        <v>3811814.1934293583</v>
      </c>
      <c r="H24" s="5">
        <v>4215843.8842201019</v>
      </c>
      <c r="I24" s="5">
        <v>4624158.4476119922</v>
      </c>
      <c r="J24" s="5">
        <v>5153075.0858616652</v>
      </c>
      <c r="K24" s="5">
        <v>5894179.5328029115</v>
      </c>
      <c r="L24" s="5">
        <v>6631014.6284686113</v>
      </c>
      <c r="M24" s="5">
        <v>7345175.183189013</v>
      </c>
      <c r="N24" s="5">
        <v>7778146.0309687089</v>
      </c>
      <c r="O24" s="5">
        <v>8968802.2386845984</v>
      </c>
      <c r="P24" s="5">
        <v>10460681.863474732</v>
      </c>
      <c r="Q24" s="5">
        <v>12158227.455315866</v>
      </c>
      <c r="R24" s="5">
        <v>13921522.899663929</v>
      </c>
      <c r="S24" s="5">
        <v>15462669.539135357</v>
      </c>
      <c r="T24" s="5">
        <v>16484666.9584892</v>
      </c>
      <c r="U24" s="5">
        <v>17785199.41338633</v>
      </c>
      <c r="V24" s="5">
        <v>19718142.829498406</v>
      </c>
      <c r="W24" s="5">
        <v>20211412.565726649</v>
      </c>
      <c r="X24" s="5">
        <v>19877637.542163733</v>
      </c>
      <c r="Y24" s="5">
        <v>17890781.924003161</v>
      </c>
      <c r="Z24" s="5">
        <v>19014540.74895969</v>
      </c>
      <c r="AB24" s="5">
        <f t="shared" si="0"/>
        <v>11129216.836158015</v>
      </c>
    </row>
    <row r="25" spans="1:28" ht="14.25" customHeight="1" x14ac:dyDescent="0.3">
      <c r="A25" s="5" t="s">
        <v>286</v>
      </c>
      <c r="B25" s="18" t="s">
        <v>287</v>
      </c>
      <c r="C25" s="5" t="s">
        <v>103</v>
      </c>
      <c r="D25" s="18" t="s">
        <v>52</v>
      </c>
      <c r="E25" s="5">
        <v>308411.49384278455</v>
      </c>
      <c r="F25" s="5">
        <v>328787.72798830271</v>
      </c>
      <c r="G25" s="5">
        <v>358108.37523088261</v>
      </c>
      <c r="H25" s="5">
        <v>386536.63269424438</v>
      </c>
      <c r="I25" s="5">
        <v>423171.76949966355</v>
      </c>
      <c r="J25" s="5">
        <v>462469.64617699786</v>
      </c>
      <c r="K25" s="5">
        <v>496324.11994162539</v>
      </c>
      <c r="L25" s="5">
        <v>535121.53897500038</v>
      </c>
      <c r="M25" s="5">
        <v>566317.15343195607</v>
      </c>
      <c r="N25" s="5">
        <v>597420.11311532627</v>
      </c>
      <c r="O25" s="5">
        <v>642080.59447312355</v>
      </c>
      <c r="P25" s="5">
        <v>703919.77099663019</v>
      </c>
      <c r="Q25" s="5">
        <v>725751.85025865177</v>
      </c>
      <c r="R25" s="5">
        <v>779356.18591403961</v>
      </c>
      <c r="S25" s="5">
        <v>835050.94262096705</v>
      </c>
      <c r="T25" s="5">
        <v>881960.12192310474</v>
      </c>
      <c r="U25" s="5">
        <v>941202.91255952511</v>
      </c>
      <c r="V25" s="5">
        <v>1003778.4648156862</v>
      </c>
      <c r="W25" s="5">
        <v>1048607.2502328255</v>
      </c>
      <c r="X25" s="5">
        <v>1106212.9841623306</v>
      </c>
      <c r="Y25" s="5">
        <v>1084221.64529564</v>
      </c>
      <c r="Z25" s="5">
        <v>1111584.8862989151</v>
      </c>
      <c r="AB25" s="5">
        <f t="shared" si="0"/>
        <v>696654.37183855555</v>
      </c>
    </row>
    <row r="26" spans="1:28" ht="14.25" customHeight="1" x14ac:dyDescent="0.3">
      <c r="A26" s="5" t="s">
        <v>286</v>
      </c>
      <c r="B26" s="18" t="s">
        <v>287</v>
      </c>
      <c r="C26" s="5" t="s">
        <v>53</v>
      </c>
      <c r="D26" s="18" t="s">
        <v>54</v>
      </c>
      <c r="E26" s="5">
        <v>8205651.0338205649</v>
      </c>
      <c r="F26" s="5">
        <v>8653850.4395989627</v>
      </c>
      <c r="G26" s="5">
        <v>8703726.8902026974</v>
      </c>
      <c r="H26" s="5">
        <v>9352788.6487030238</v>
      </c>
      <c r="I26" s="5">
        <v>10360205.989925258</v>
      </c>
      <c r="J26" s="5">
        <v>10902824.005372696</v>
      </c>
      <c r="K26" s="5">
        <v>11864964.831865158</v>
      </c>
      <c r="L26" s="5">
        <v>13265070.898342816</v>
      </c>
      <c r="M26" s="5">
        <v>14138526.230709363</v>
      </c>
      <c r="N26" s="5">
        <v>14709181.675309515</v>
      </c>
      <c r="O26" s="5">
        <v>15263956.151733533</v>
      </c>
      <c r="P26" s="5">
        <v>14324303.832354598</v>
      </c>
      <c r="Q26" s="5">
        <v>15210399.871061035</v>
      </c>
      <c r="R26" s="5">
        <v>15583488.606041752</v>
      </c>
      <c r="S26" s="5">
        <v>16173304.915780276</v>
      </c>
      <c r="T26" s="5">
        <v>16119805.329751937</v>
      </c>
      <c r="U26" s="5">
        <v>16122607.11540007</v>
      </c>
      <c r="V26" s="5">
        <v>16501686.3731171</v>
      </c>
      <c r="W26" s="5">
        <v>17041242.119906705</v>
      </c>
      <c r="X26" s="5">
        <v>17263681.100197528</v>
      </c>
      <c r="Y26" s="5">
        <v>14057004.7196449</v>
      </c>
      <c r="Z26" s="5">
        <v>15229838.612341059</v>
      </c>
      <c r="AB26" s="5">
        <f t="shared" si="0"/>
        <v>13593095.881417297</v>
      </c>
    </row>
    <row r="27" spans="1:28" ht="14.25" customHeight="1" x14ac:dyDescent="0.3">
      <c r="A27" s="5" t="s">
        <v>286</v>
      </c>
      <c r="B27" s="18" t="s">
        <v>287</v>
      </c>
      <c r="C27" s="5" t="s">
        <v>283</v>
      </c>
      <c r="D27" s="18" t="s">
        <v>56</v>
      </c>
      <c r="E27" s="5">
        <v>1469420.5435786799</v>
      </c>
      <c r="F27" s="5">
        <v>1622579.8633561099</v>
      </c>
      <c r="G27" s="5">
        <v>1796985.0353189115</v>
      </c>
      <c r="H27" s="5">
        <v>2012832.7632979716</v>
      </c>
      <c r="I27" s="5">
        <v>2282953.2533601779</v>
      </c>
      <c r="J27" s="5">
        <v>2591979.8410920948</v>
      </c>
      <c r="K27" s="5">
        <v>2888899.1965195718</v>
      </c>
      <c r="L27" s="5">
        <v>3200336.7460127594</v>
      </c>
      <c r="M27" s="5">
        <v>3444755.2981203105</v>
      </c>
      <c r="N27" s="5">
        <v>3713846.4968228508</v>
      </c>
      <c r="O27" s="5">
        <v>4111088.1331421072</v>
      </c>
      <c r="P27" s="5">
        <v>4549281.7666036822</v>
      </c>
      <c r="Q27" s="5">
        <v>4946683.2741905106</v>
      </c>
      <c r="R27" s="5">
        <v>5382791.226153858</v>
      </c>
      <c r="S27" s="5">
        <v>5950118.909328144</v>
      </c>
      <c r="T27" s="5">
        <v>6643861.1940235905</v>
      </c>
      <c r="U27" s="5">
        <v>7374368.6226135399</v>
      </c>
      <c r="V27" s="5">
        <v>8226208.7042816887</v>
      </c>
      <c r="W27" s="5">
        <v>9292030.9308720399</v>
      </c>
      <c r="X27" s="5">
        <v>10504576.81186107</v>
      </c>
      <c r="Y27" s="5">
        <v>10910928.733012583</v>
      </c>
      <c r="Z27" s="5">
        <v>11277623.754038213</v>
      </c>
      <c r="AB27" s="5">
        <f t="shared" si="0"/>
        <v>5190643.2317091124</v>
      </c>
    </row>
    <row r="28" spans="1:28" ht="14.25" customHeight="1" x14ac:dyDescent="0.3">
      <c r="A28" s="5" t="s">
        <v>286</v>
      </c>
      <c r="B28" s="18" t="s">
        <v>287</v>
      </c>
      <c r="C28" s="5" t="s">
        <v>57</v>
      </c>
      <c r="D28" s="18" t="s">
        <v>58</v>
      </c>
      <c r="E28" s="5">
        <v>647195.52664432593</v>
      </c>
      <c r="F28" s="5">
        <v>675718.41808505147</v>
      </c>
      <c r="G28" s="5">
        <v>693924.28224512876</v>
      </c>
      <c r="H28" s="5">
        <v>745891.65182150144</v>
      </c>
      <c r="I28" s="5">
        <v>801875.93864801433</v>
      </c>
      <c r="J28" s="5">
        <v>863188.26366176154</v>
      </c>
      <c r="K28" s="5">
        <v>938115.37948326743</v>
      </c>
      <c r="L28" s="5">
        <v>1026342.5835253113</v>
      </c>
      <c r="M28" s="5">
        <v>1110043.7186006829</v>
      </c>
      <c r="N28" s="5">
        <v>1233697.0990965464</v>
      </c>
      <c r="O28" s="5">
        <v>1400476.0895941504</v>
      </c>
      <c r="P28" s="5">
        <v>1460385.8331264262</v>
      </c>
      <c r="Q28" s="5">
        <v>1584550.7177774748</v>
      </c>
      <c r="R28" s="5">
        <v>1640372.1048130575</v>
      </c>
      <c r="S28" s="5">
        <v>1687433.2611440546</v>
      </c>
      <c r="T28" s="5">
        <v>1679299.4974989907</v>
      </c>
      <c r="U28" s="5">
        <v>1699308.1422141162</v>
      </c>
      <c r="V28" s="5">
        <v>1712874.443193851</v>
      </c>
      <c r="W28" s="5">
        <v>1745702.7704285337</v>
      </c>
      <c r="X28" s="5">
        <v>1693072.8529206289</v>
      </c>
      <c r="Y28" s="5">
        <v>1509789.7030067302</v>
      </c>
      <c r="Z28" s="5">
        <v>1610635.6692209139</v>
      </c>
      <c r="AB28" s="5">
        <f t="shared" si="0"/>
        <v>1279995.1793977509</v>
      </c>
    </row>
    <row r="29" spans="1:28" ht="14.25" customHeight="1" x14ac:dyDescent="0.3"/>
    <row r="30" spans="1:28" ht="14.25" customHeight="1" x14ac:dyDescent="0.3"/>
    <row r="31" spans="1:28" ht="14.25" customHeight="1" x14ac:dyDescent="0.3"/>
    <row r="32" spans="1:28"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92"/>
  <sheetViews>
    <sheetView workbookViewId="0"/>
  </sheetViews>
  <sheetFormatPr defaultColWidth="14.44140625" defaultRowHeight="15" customHeight="1" x14ac:dyDescent="0.3"/>
  <cols>
    <col min="1" max="28" width="8.6640625" customWidth="1"/>
  </cols>
  <sheetData>
    <row r="1" spans="1:28" ht="14.25" customHeight="1" x14ac:dyDescent="0.3">
      <c r="A1" s="3" t="s">
        <v>277</v>
      </c>
      <c r="B1" s="17" t="s">
        <v>278</v>
      </c>
      <c r="C1" s="3" t="s">
        <v>279</v>
      </c>
      <c r="D1" s="17" t="s">
        <v>280</v>
      </c>
      <c r="E1" s="3" t="s">
        <v>78</v>
      </c>
      <c r="F1" s="3" t="s">
        <v>79</v>
      </c>
      <c r="G1" s="3" t="s">
        <v>80</v>
      </c>
      <c r="H1" s="3" t="s">
        <v>81</v>
      </c>
      <c r="I1" s="3" t="s">
        <v>82</v>
      </c>
      <c r="J1" s="3" t="s">
        <v>83</v>
      </c>
      <c r="K1" s="3" t="s">
        <v>84</v>
      </c>
      <c r="L1" s="3" t="s">
        <v>85</v>
      </c>
      <c r="M1" s="3" t="s">
        <v>86</v>
      </c>
      <c r="N1" s="3" t="s">
        <v>87</v>
      </c>
      <c r="O1" s="3" t="s">
        <v>88</v>
      </c>
      <c r="P1" s="3" t="s">
        <v>89</v>
      </c>
      <c r="Q1" s="3" t="s">
        <v>90</v>
      </c>
      <c r="R1" s="3" t="s">
        <v>91</v>
      </c>
      <c r="S1" s="3" t="s">
        <v>92</v>
      </c>
      <c r="T1" s="3" t="s">
        <v>93</v>
      </c>
      <c r="U1" s="3" t="s">
        <v>94</v>
      </c>
      <c r="V1" s="3" t="s">
        <v>95</v>
      </c>
      <c r="W1" s="3" t="s">
        <v>96</v>
      </c>
      <c r="X1" s="3" t="s">
        <v>97</v>
      </c>
      <c r="Y1" s="3" t="s">
        <v>98</v>
      </c>
      <c r="Z1" s="29" t="s">
        <v>99</v>
      </c>
      <c r="AA1" s="27"/>
      <c r="AB1" s="3" t="s">
        <v>100</v>
      </c>
    </row>
    <row r="2" spans="1:28" ht="14.25" customHeight="1" x14ac:dyDescent="0.3">
      <c r="A2" s="3" t="s">
        <v>288</v>
      </c>
      <c r="B2" s="17" t="s">
        <v>289</v>
      </c>
      <c r="C2" s="3" t="s">
        <v>4</v>
      </c>
      <c r="D2" s="17" t="s">
        <v>5</v>
      </c>
      <c r="E2" s="13">
        <v>16194869</v>
      </c>
      <c r="F2" s="13">
        <v>16747208</v>
      </c>
      <c r="G2" s="13">
        <v>17327699</v>
      </c>
      <c r="H2" s="13">
        <v>17943712</v>
      </c>
      <c r="I2" s="13">
        <v>18600423</v>
      </c>
      <c r="J2" s="13">
        <v>19291161</v>
      </c>
      <c r="K2" s="13">
        <v>20015279</v>
      </c>
      <c r="L2" s="13">
        <v>20778561</v>
      </c>
      <c r="M2" s="13">
        <v>21578655</v>
      </c>
      <c r="N2" s="13">
        <v>22414773</v>
      </c>
      <c r="O2" s="13">
        <v>23294825</v>
      </c>
      <c r="P2" s="13">
        <v>24218352</v>
      </c>
      <c r="Q2" s="13">
        <v>25177394</v>
      </c>
      <c r="R2" s="13">
        <v>26165620</v>
      </c>
      <c r="S2" s="13">
        <v>27160769</v>
      </c>
      <c r="T2" s="13">
        <v>28157798</v>
      </c>
      <c r="U2" s="13">
        <v>29183070</v>
      </c>
      <c r="V2" s="13">
        <v>30234839</v>
      </c>
      <c r="W2" s="13">
        <v>31297155</v>
      </c>
      <c r="X2" s="13">
        <v>32375632</v>
      </c>
      <c r="Y2" s="13">
        <v>33451132</v>
      </c>
      <c r="Z2" s="13">
        <v>34532429</v>
      </c>
      <c r="AA2" s="3"/>
      <c r="AB2" s="3">
        <f t="shared" ref="AB2:AB28" si="0">AVERAGE(E2:Z2)</f>
        <v>24370061.59090909</v>
      </c>
    </row>
    <row r="3" spans="1:28" ht="14.25" customHeight="1" x14ac:dyDescent="0.3">
      <c r="A3" s="3" t="s">
        <v>288</v>
      </c>
      <c r="B3" s="17" t="s">
        <v>289</v>
      </c>
      <c r="C3" s="3" t="s">
        <v>7</v>
      </c>
      <c r="D3" s="17" t="s">
        <v>8</v>
      </c>
      <c r="E3" s="19">
        <v>135000000</v>
      </c>
      <c r="F3" s="19">
        <v>137000000</v>
      </c>
      <c r="G3" s="19">
        <v>139000000</v>
      </c>
      <c r="H3" s="19">
        <v>141000000</v>
      </c>
      <c r="I3" s="19">
        <v>143000000</v>
      </c>
      <c r="J3" s="19">
        <v>145000000</v>
      </c>
      <c r="K3" s="19">
        <v>146000000</v>
      </c>
      <c r="L3" s="19">
        <v>148000000</v>
      </c>
      <c r="M3" s="19">
        <v>149000000</v>
      </c>
      <c r="N3" s="19">
        <v>151000000</v>
      </c>
      <c r="O3" s="19">
        <v>152000000</v>
      </c>
      <c r="P3" s="19">
        <v>154000000</v>
      </c>
      <c r="Q3" s="19">
        <v>155000000</v>
      </c>
      <c r="R3" s="19">
        <v>157000000</v>
      </c>
      <c r="S3" s="19">
        <v>158000000</v>
      </c>
      <c r="T3" s="19">
        <v>159000000</v>
      </c>
      <c r="U3" s="19">
        <v>161000000</v>
      </c>
      <c r="V3" s="19">
        <v>162000000</v>
      </c>
      <c r="W3" s="19">
        <v>164000000</v>
      </c>
      <c r="X3" s="19">
        <v>165000000</v>
      </c>
      <c r="Y3" s="19">
        <v>166000000</v>
      </c>
      <c r="Z3" s="19">
        <v>168000000</v>
      </c>
      <c r="AA3" s="3"/>
      <c r="AB3" s="20">
        <f t="shared" si="0"/>
        <v>152500000</v>
      </c>
    </row>
    <row r="4" spans="1:28" ht="14.25" customHeight="1" x14ac:dyDescent="0.3">
      <c r="A4" s="3" t="s">
        <v>288</v>
      </c>
      <c r="B4" s="17" t="s">
        <v>289</v>
      </c>
      <c r="C4" s="3" t="s">
        <v>9</v>
      </c>
      <c r="D4" s="17" t="s">
        <v>10</v>
      </c>
      <c r="E4" s="13">
        <v>8606326</v>
      </c>
      <c r="F4" s="13">
        <v>8752736</v>
      </c>
      <c r="G4" s="13">
        <v>8900355</v>
      </c>
      <c r="H4" s="13">
        <v>9050700</v>
      </c>
      <c r="I4" s="13">
        <v>9204287</v>
      </c>
      <c r="J4" s="13">
        <v>9360754</v>
      </c>
      <c r="K4" s="13">
        <v>9521689</v>
      </c>
      <c r="L4" s="13">
        <v>9685960</v>
      </c>
      <c r="M4" s="13">
        <v>9850858</v>
      </c>
      <c r="N4" s="13">
        <v>10016275</v>
      </c>
      <c r="O4" s="13">
        <v>10182345</v>
      </c>
      <c r="P4" s="13">
        <v>10348929</v>
      </c>
      <c r="Q4" s="13">
        <v>10515807</v>
      </c>
      <c r="R4" s="13">
        <v>10682608</v>
      </c>
      <c r="S4" s="13">
        <v>10848888</v>
      </c>
      <c r="T4" s="13">
        <v>11014705</v>
      </c>
      <c r="U4" s="13">
        <v>11180020</v>
      </c>
      <c r="V4" s="13">
        <v>11344587</v>
      </c>
      <c r="W4" s="13">
        <v>11508368</v>
      </c>
      <c r="X4" s="13">
        <v>11671386</v>
      </c>
      <c r="Y4" s="13">
        <v>11816299</v>
      </c>
      <c r="Z4" s="13">
        <v>11937360</v>
      </c>
      <c r="AA4" s="3"/>
      <c r="AB4" s="3">
        <f t="shared" si="0"/>
        <v>10272783.727272727</v>
      </c>
    </row>
    <row r="5" spans="1:28" ht="14.25" customHeight="1" x14ac:dyDescent="0.3">
      <c r="A5" s="3" t="s">
        <v>288</v>
      </c>
      <c r="B5" s="17" t="s">
        <v>289</v>
      </c>
      <c r="C5" s="3" t="s">
        <v>11</v>
      </c>
      <c r="D5" s="17" t="s">
        <v>12</v>
      </c>
      <c r="E5" s="13">
        <v>14912631</v>
      </c>
      <c r="F5" s="13">
        <v>15309490</v>
      </c>
      <c r="G5" s="13">
        <v>15725528</v>
      </c>
      <c r="H5" s="13">
        <v>16160340</v>
      </c>
      <c r="I5" s="13">
        <v>16610487</v>
      </c>
      <c r="J5" s="13">
        <v>17074594</v>
      </c>
      <c r="K5" s="13">
        <v>17550407</v>
      </c>
      <c r="L5" s="13">
        <v>18049896</v>
      </c>
      <c r="M5" s="13">
        <v>18574056</v>
      </c>
      <c r="N5" s="13">
        <v>19113974</v>
      </c>
      <c r="O5" s="13">
        <v>19668066</v>
      </c>
      <c r="P5" s="13">
        <v>20232304</v>
      </c>
      <c r="Q5" s="13">
        <v>20809529</v>
      </c>
      <c r="R5" s="13">
        <v>21402376</v>
      </c>
      <c r="S5" s="13">
        <v>22059893</v>
      </c>
      <c r="T5" s="13">
        <v>22763414</v>
      </c>
      <c r="U5" s="13">
        <v>23454161</v>
      </c>
      <c r="V5" s="13">
        <v>24128601</v>
      </c>
      <c r="W5" s="13">
        <v>24806383</v>
      </c>
      <c r="X5" s="13">
        <v>25506095</v>
      </c>
      <c r="Y5" s="13">
        <v>26210558</v>
      </c>
      <c r="Z5" s="13">
        <v>26915758</v>
      </c>
      <c r="AA5" s="3"/>
      <c r="AB5" s="3">
        <f t="shared" si="0"/>
        <v>20319933.681818184</v>
      </c>
    </row>
    <row r="6" spans="1:28" ht="14.25" customHeight="1" x14ac:dyDescent="0.3">
      <c r="A6" s="3" t="s">
        <v>288</v>
      </c>
      <c r="B6" s="17" t="s">
        <v>289</v>
      </c>
      <c r="C6" s="3" t="s">
        <v>101</v>
      </c>
      <c r="D6" s="17" t="s">
        <v>14</v>
      </c>
      <c r="E6" s="13">
        <v>3151345</v>
      </c>
      <c r="F6" s="13">
        <v>3272537</v>
      </c>
      <c r="G6" s="13">
        <v>3350771</v>
      </c>
      <c r="H6" s="13">
        <v>3445753</v>
      </c>
      <c r="I6" s="13">
        <v>3565554</v>
      </c>
      <c r="J6" s="13">
        <v>3696393</v>
      </c>
      <c r="K6" s="13">
        <v>3837409</v>
      </c>
      <c r="L6" s="13">
        <v>3980430</v>
      </c>
      <c r="M6" s="13">
        <v>4113517</v>
      </c>
      <c r="N6" s="13">
        <v>4281219</v>
      </c>
      <c r="O6" s="13">
        <v>4462290</v>
      </c>
      <c r="P6" s="13">
        <v>4609724</v>
      </c>
      <c r="Q6" s="13">
        <v>4740450</v>
      </c>
      <c r="R6" s="13">
        <v>4857099</v>
      </c>
      <c r="S6" s="13">
        <v>4975880</v>
      </c>
      <c r="T6" s="13">
        <v>5097581</v>
      </c>
      <c r="U6" s="13">
        <v>5222536</v>
      </c>
      <c r="V6" s="13">
        <v>5351011</v>
      </c>
      <c r="W6" s="13">
        <v>5483118</v>
      </c>
      <c r="X6" s="13">
        <v>5616661</v>
      </c>
      <c r="Y6" s="13">
        <v>5752791</v>
      </c>
      <c r="Z6" s="13">
        <v>5892183</v>
      </c>
      <c r="AA6" s="3"/>
      <c r="AB6" s="3">
        <f t="shared" si="0"/>
        <v>4488920.5454545459</v>
      </c>
    </row>
    <row r="7" spans="1:28" ht="14.25" customHeight="1" x14ac:dyDescent="0.3">
      <c r="A7" s="3" t="s">
        <v>288</v>
      </c>
      <c r="B7" s="17" t="s">
        <v>289</v>
      </c>
      <c r="C7" s="3" t="s">
        <v>282</v>
      </c>
      <c r="D7" s="17" t="s">
        <v>16</v>
      </c>
      <c r="E7" s="13">
        <v>17699004</v>
      </c>
      <c r="F7" s="13">
        <v>18178913</v>
      </c>
      <c r="G7" s="13">
        <v>18654771</v>
      </c>
      <c r="H7" s="13">
        <v>19125542</v>
      </c>
      <c r="I7" s="13">
        <v>19595000</v>
      </c>
      <c r="J7" s="13">
        <v>20068458</v>
      </c>
      <c r="K7" s="13">
        <v>20546802</v>
      </c>
      <c r="L7" s="13">
        <v>21030558</v>
      </c>
      <c r="M7" s="13">
        <v>21514439</v>
      </c>
      <c r="N7" s="13">
        <v>21997940</v>
      </c>
      <c r="O7" s="13">
        <v>22488065</v>
      </c>
      <c r="P7" s="13">
        <v>22982000</v>
      </c>
      <c r="Q7" s="13">
        <v>23467078</v>
      </c>
      <c r="R7" s="13">
        <v>23939775</v>
      </c>
      <c r="S7" s="13">
        <v>24527395</v>
      </c>
      <c r="T7" s="13">
        <v>25246342</v>
      </c>
      <c r="U7" s="13">
        <v>25989405</v>
      </c>
      <c r="V7" s="13">
        <v>26733372</v>
      </c>
      <c r="W7" s="13">
        <v>27464173</v>
      </c>
      <c r="X7" s="13">
        <v>28193009</v>
      </c>
      <c r="Y7" s="13">
        <v>28915449</v>
      </c>
      <c r="Z7" s="13">
        <v>29639736</v>
      </c>
      <c r="AA7" s="3"/>
      <c r="AB7" s="3">
        <f t="shared" si="0"/>
        <v>23090783</v>
      </c>
    </row>
    <row r="8" spans="1:28" ht="14.25" customHeight="1" x14ac:dyDescent="0.3">
      <c r="A8" s="3" t="s">
        <v>288</v>
      </c>
      <c r="B8" s="17" t="s">
        <v>289</v>
      </c>
      <c r="C8" s="3" t="s">
        <v>102</v>
      </c>
      <c r="D8" s="17" t="s">
        <v>18</v>
      </c>
      <c r="E8" s="13">
        <v>73083284</v>
      </c>
      <c r="F8" s="13">
        <v>74652029</v>
      </c>
      <c r="G8" s="13">
        <v>76239137</v>
      </c>
      <c r="H8" s="13">
        <v>77853548</v>
      </c>
      <c r="I8" s="13">
        <v>79477443</v>
      </c>
      <c r="J8" s="13">
        <v>81101004</v>
      </c>
      <c r="K8" s="13">
        <v>82700403</v>
      </c>
      <c r="L8" s="13">
        <v>84276225</v>
      </c>
      <c r="M8" s="13">
        <v>85864789</v>
      </c>
      <c r="N8" s="13">
        <v>87501636</v>
      </c>
      <c r="O8" s="13">
        <v>89196072</v>
      </c>
      <c r="P8" s="13">
        <v>91093059</v>
      </c>
      <c r="Q8" s="13">
        <v>93161001</v>
      </c>
      <c r="R8" s="13">
        <v>95333553</v>
      </c>
      <c r="S8" s="13">
        <v>97528654</v>
      </c>
      <c r="T8" s="13">
        <v>99597342</v>
      </c>
      <c r="U8" s="19">
        <v>102000000</v>
      </c>
      <c r="V8" s="19">
        <v>104000000</v>
      </c>
      <c r="W8" s="19">
        <v>106000000</v>
      </c>
      <c r="X8" s="19">
        <v>108000000</v>
      </c>
      <c r="Y8" s="19">
        <v>109000000</v>
      </c>
      <c r="Z8" s="19">
        <v>111000000</v>
      </c>
      <c r="AA8" s="3"/>
      <c r="AB8" s="3">
        <f t="shared" si="0"/>
        <v>91302689.954545453</v>
      </c>
    </row>
    <row r="9" spans="1:28" ht="14.25" customHeight="1" x14ac:dyDescent="0.3">
      <c r="A9" s="3" t="s">
        <v>288</v>
      </c>
      <c r="B9" s="17" t="s">
        <v>289</v>
      </c>
      <c r="C9" s="3" t="s">
        <v>19</v>
      </c>
      <c r="D9" s="17" t="s">
        <v>20</v>
      </c>
      <c r="E9" s="13">
        <v>19637087</v>
      </c>
      <c r="F9" s="13">
        <v>20167069</v>
      </c>
      <c r="G9" s="13">
        <v>20729388</v>
      </c>
      <c r="H9" s="13">
        <v>21296705</v>
      </c>
      <c r="I9" s="13">
        <v>21868298</v>
      </c>
      <c r="J9" s="13">
        <v>22449438</v>
      </c>
      <c r="K9" s="13">
        <v>23040702</v>
      </c>
      <c r="L9" s="13">
        <v>23642279</v>
      </c>
      <c r="M9" s="13">
        <v>24249946</v>
      </c>
      <c r="N9" s="13">
        <v>24862664</v>
      </c>
      <c r="O9" s="13">
        <v>25474995</v>
      </c>
      <c r="P9" s="13">
        <v>26095088</v>
      </c>
      <c r="Q9" s="13">
        <v>26734268</v>
      </c>
      <c r="R9" s="13">
        <v>27386193</v>
      </c>
      <c r="S9" s="13">
        <v>28041592</v>
      </c>
      <c r="T9" s="13">
        <v>28696068</v>
      </c>
      <c r="U9" s="13">
        <v>29356742</v>
      </c>
      <c r="V9" s="13">
        <v>30008354</v>
      </c>
      <c r="W9" s="13">
        <v>30637585</v>
      </c>
      <c r="X9" s="13">
        <v>31258945</v>
      </c>
      <c r="Y9" s="13">
        <v>31887809</v>
      </c>
      <c r="Z9" s="13">
        <v>32518665</v>
      </c>
      <c r="AA9" s="3"/>
      <c r="AB9" s="3">
        <f t="shared" si="0"/>
        <v>25910903.636363637</v>
      </c>
    </row>
    <row r="10" spans="1:28" ht="14.25" customHeight="1" x14ac:dyDescent="0.3">
      <c r="A10" s="3" t="s">
        <v>288</v>
      </c>
      <c r="B10" s="17" t="s">
        <v>289</v>
      </c>
      <c r="C10" s="3" t="s">
        <v>21</v>
      </c>
      <c r="D10" s="17" t="s">
        <v>22</v>
      </c>
      <c r="E10" s="13">
        <v>8303151</v>
      </c>
      <c r="F10" s="13">
        <v>8455918</v>
      </c>
      <c r="G10" s="13">
        <v>8607641</v>
      </c>
      <c r="H10" s="13">
        <v>8759912</v>
      </c>
      <c r="I10" s="13">
        <v>8910263</v>
      </c>
      <c r="J10" s="13">
        <v>9061273</v>
      </c>
      <c r="K10" s="13">
        <v>9216562</v>
      </c>
      <c r="L10" s="13">
        <v>9373296</v>
      </c>
      <c r="M10" s="13">
        <v>9530774</v>
      </c>
      <c r="N10" s="13">
        <v>9689581</v>
      </c>
      <c r="O10" s="13">
        <v>9803294</v>
      </c>
      <c r="P10" s="13">
        <v>9914904</v>
      </c>
      <c r="Q10" s="13">
        <v>10069771</v>
      </c>
      <c r="R10" s="13">
        <v>10222362</v>
      </c>
      <c r="S10" s="13">
        <v>10373235</v>
      </c>
      <c r="T10" s="13">
        <v>10523242</v>
      </c>
      <c r="U10" s="13">
        <v>10671457</v>
      </c>
      <c r="V10" s="13">
        <v>10817754</v>
      </c>
      <c r="W10" s="13">
        <v>10962362</v>
      </c>
      <c r="X10" s="13">
        <v>11105163</v>
      </c>
      <c r="Y10" s="13">
        <v>11243848</v>
      </c>
      <c r="Z10" s="13">
        <v>11374586</v>
      </c>
      <c r="AA10" s="3"/>
      <c r="AB10" s="3">
        <f t="shared" si="0"/>
        <v>9863197.6818181816</v>
      </c>
    </row>
    <row r="11" spans="1:28" ht="14.25" customHeight="1" x14ac:dyDescent="0.3">
      <c r="A11" s="3" t="s">
        <v>288</v>
      </c>
      <c r="B11" s="17" t="s">
        <v>289</v>
      </c>
      <c r="C11" s="3" t="s">
        <v>23</v>
      </c>
      <c r="D11" s="17" t="s">
        <v>24</v>
      </c>
      <c r="E11" s="13">
        <v>6577773</v>
      </c>
      <c r="F11" s="13">
        <v>6757993</v>
      </c>
      <c r="G11" s="13">
        <v>6938859</v>
      </c>
      <c r="H11" s="13">
        <v>7119213</v>
      </c>
      <c r="I11" s="13">
        <v>7298994</v>
      </c>
      <c r="J11" s="13">
        <v>7478355</v>
      </c>
      <c r="K11" s="13">
        <v>7656832</v>
      </c>
      <c r="L11" s="13">
        <v>7834798</v>
      </c>
      <c r="M11" s="13">
        <v>8012587</v>
      </c>
      <c r="N11" s="13">
        <v>8189899</v>
      </c>
      <c r="O11" s="13">
        <v>8365878</v>
      </c>
      <c r="P11" s="13">
        <v>8540583</v>
      </c>
      <c r="Q11" s="13">
        <v>8715076</v>
      </c>
      <c r="R11" s="13">
        <v>8889278</v>
      </c>
      <c r="S11" s="13">
        <v>9063122</v>
      </c>
      <c r="T11" s="13">
        <v>9237305</v>
      </c>
      <c r="U11" s="13">
        <v>9412380</v>
      </c>
      <c r="V11" s="13">
        <v>9588137</v>
      </c>
      <c r="W11" s="13">
        <v>9765210</v>
      </c>
      <c r="X11" s="13">
        <v>9943633</v>
      </c>
      <c r="Y11" s="13">
        <v>10119640</v>
      </c>
      <c r="Z11" s="13">
        <v>10289877</v>
      </c>
      <c r="AA11" s="3"/>
      <c r="AB11" s="3">
        <f t="shared" si="0"/>
        <v>8445246.4545454551</v>
      </c>
    </row>
    <row r="12" spans="1:28" ht="14.25" customHeight="1" x14ac:dyDescent="0.3">
      <c r="A12" s="3" t="s">
        <v>288</v>
      </c>
      <c r="B12" s="17" t="s">
        <v>289</v>
      </c>
      <c r="C12" s="3" t="s">
        <v>25</v>
      </c>
      <c r="D12" s="17" t="s">
        <v>26</v>
      </c>
      <c r="E12" s="19">
        <v>1060000000</v>
      </c>
      <c r="F12" s="19">
        <v>1080000000</v>
      </c>
      <c r="G12" s="19">
        <v>1100000000</v>
      </c>
      <c r="H12" s="19">
        <v>1120000000</v>
      </c>
      <c r="I12" s="19">
        <v>1140000000</v>
      </c>
      <c r="J12" s="19">
        <v>1150000000</v>
      </c>
      <c r="K12" s="19">
        <v>1170000000</v>
      </c>
      <c r="L12" s="19">
        <v>1190000000</v>
      </c>
      <c r="M12" s="19">
        <v>1210000000</v>
      </c>
      <c r="N12" s="19">
        <v>1230000000</v>
      </c>
      <c r="O12" s="19">
        <v>1240000000</v>
      </c>
      <c r="P12" s="19">
        <v>1260000000</v>
      </c>
      <c r="Q12" s="19">
        <v>1280000000</v>
      </c>
      <c r="R12" s="19">
        <v>1300000000</v>
      </c>
      <c r="S12" s="19">
        <v>1310000000</v>
      </c>
      <c r="T12" s="19">
        <v>1330000000</v>
      </c>
      <c r="U12" s="19">
        <v>1340000000</v>
      </c>
      <c r="V12" s="19">
        <v>1360000000</v>
      </c>
      <c r="W12" s="19">
        <v>1370000000</v>
      </c>
      <c r="X12" s="19">
        <v>1390000000</v>
      </c>
      <c r="Y12" s="19">
        <v>1400000000</v>
      </c>
      <c r="Z12" s="19">
        <v>1410000000</v>
      </c>
      <c r="AA12" s="3"/>
      <c r="AB12" s="20">
        <f t="shared" si="0"/>
        <v>1247272727.2727273</v>
      </c>
    </row>
    <row r="13" spans="1:28" ht="14.25" customHeight="1" x14ac:dyDescent="0.3">
      <c r="A13" s="3" t="s">
        <v>288</v>
      </c>
      <c r="B13" s="17" t="s">
        <v>289</v>
      </c>
      <c r="C13" s="3" t="s">
        <v>27</v>
      </c>
      <c r="D13" s="17" t="s">
        <v>28</v>
      </c>
      <c r="E13" s="13">
        <v>5386945</v>
      </c>
      <c r="F13" s="13">
        <v>5498894</v>
      </c>
      <c r="G13" s="13">
        <v>5616066</v>
      </c>
      <c r="H13" s="13">
        <v>5741828</v>
      </c>
      <c r="I13" s="13">
        <v>5882061</v>
      </c>
      <c r="J13" s="13">
        <v>6029587</v>
      </c>
      <c r="K13" s="13">
        <v>6427371</v>
      </c>
      <c r="L13" s="13">
        <v>6827227</v>
      </c>
      <c r="M13" s="13">
        <v>6989866</v>
      </c>
      <c r="N13" s="13">
        <v>7141753</v>
      </c>
      <c r="O13" s="13">
        <v>7297043</v>
      </c>
      <c r="P13" s="13">
        <v>7480424</v>
      </c>
      <c r="Q13" s="13">
        <v>7587127</v>
      </c>
      <c r="R13" s="13">
        <v>7991809</v>
      </c>
      <c r="S13" s="13">
        <v>8791710</v>
      </c>
      <c r="T13" s="13">
        <v>9544729</v>
      </c>
      <c r="U13" s="13">
        <v>10006367</v>
      </c>
      <c r="V13" s="13">
        <v>10234226</v>
      </c>
      <c r="W13" s="13">
        <v>10462306</v>
      </c>
      <c r="X13" s="13">
        <v>10671891</v>
      </c>
      <c r="Y13" s="13">
        <v>10865228</v>
      </c>
      <c r="Z13" s="13">
        <v>11066356</v>
      </c>
      <c r="AA13" s="3"/>
      <c r="AB13" s="3">
        <f t="shared" si="0"/>
        <v>7888218.8181818184</v>
      </c>
    </row>
    <row r="14" spans="1:28" ht="14.25" customHeight="1" x14ac:dyDescent="0.3">
      <c r="A14" s="3" t="s">
        <v>288</v>
      </c>
      <c r="B14" s="17" t="s">
        <v>289</v>
      </c>
      <c r="C14" s="3" t="s">
        <v>29</v>
      </c>
      <c r="D14" s="17" t="s">
        <v>30</v>
      </c>
      <c r="E14" s="13">
        <v>30642890</v>
      </c>
      <c r="F14" s="13">
        <v>31619170</v>
      </c>
      <c r="G14" s="13">
        <v>32629808</v>
      </c>
      <c r="H14" s="13">
        <v>33652223</v>
      </c>
      <c r="I14" s="13">
        <v>34713455</v>
      </c>
      <c r="J14" s="13">
        <v>35796484</v>
      </c>
      <c r="K14" s="13">
        <v>36904008</v>
      </c>
      <c r="L14" s="13">
        <v>38036349</v>
      </c>
      <c r="M14" s="13">
        <v>39206351</v>
      </c>
      <c r="N14" s="13">
        <v>40408891</v>
      </c>
      <c r="O14" s="13">
        <v>41598567</v>
      </c>
      <c r="P14" s="13">
        <v>42758461</v>
      </c>
      <c r="Q14" s="13">
        <v>43888303</v>
      </c>
      <c r="R14" s="13">
        <v>44986791</v>
      </c>
      <c r="S14" s="13">
        <v>46051440</v>
      </c>
      <c r="T14" s="13">
        <v>47088526</v>
      </c>
      <c r="U14" s="13">
        <v>48139687</v>
      </c>
      <c r="V14" s="13">
        <v>49197766</v>
      </c>
      <c r="W14" s="13">
        <v>50207107</v>
      </c>
      <c r="X14" s="13">
        <v>51202827</v>
      </c>
      <c r="Y14" s="13">
        <v>52217334</v>
      </c>
      <c r="Z14" s="13">
        <v>53219166</v>
      </c>
      <c r="AA14" s="3"/>
      <c r="AB14" s="3">
        <f t="shared" si="0"/>
        <v>42007527.454545453</v>
      </c>
    </row>
    <row r="15" spans="1:28" ht="14.25" customHeight="1" x14ac:dyDescent="0.3">
      <c r="A15" s="3" t="s">
        <v>288</v>
      </c>
      <c r="B15" s="17" t="s">
        <v>289</v>
      </c>
      <c r="C15" s="3" t="s">
        <v>31</v>
      </c>
      <c r="D15" s="17" t="s">
        <v>32</v>
      </c>
      <c r="E15" s="13">
        <v>4329340</v>
      </c>
      <c r="F15" s="13">
        <v>4401918</v>
      </c>
      <c r="G15" s="13">
        <v>4463504</v>
      </c>
      <c r="H15" s="13">
        <v>4525508</v>
      </c>
      <c r="I15" s="13">
        <v>4599279</v>
      </c>
      <c r="J15" s="13">
        <v>4671102</v>
      </c>
      <c r="K15" s="13">
        <v>4751136</v>
      </c>
      <c r="L15" s="13">
        <v>4844118</v>
      </c>
      <c r="M15" s="13">
        <v>4925354</v>
      </c>
      <c r="N15" s="13">
        <v>4992287</v>
      </c>
      <c r="O15" s="13">
        <v>5041288</v>
      </c>
      <c r="P15" s="13">
        <v>5096020</v>
      </c>
      <c r="Q15" s="13">
        <v>5235742</v>
      </c>
      <c r="R15" s="13">
        <v>5743436</v>
      </c>
      <c r="S15" s="13">
        <v>6346990</v>
      </c>
      <c r="T15" s="13">
        <v>6472469</v>
      </c>
      <c r="U15" s="13">
        <v>6323060</v>
      </c>
      <c r="V15" s="13">
        <v>6160128</v>
      </c>
      <c r="W15" s="13">
        <v>5984119</v>
      </c>
      <c r="X15" s="13">
        <v>5794594</v>
      </c>
      <c r="Y15" s="13">
        <v>5702398</v>
      </c>
      <c r="Z15" s="13">
        <v>5718122</v>
      </c>
      <c r="AA15" s="3"/>
      <c r="AB15" s="3">
        <f t="shared" si="0"/>
        <v>5278268.7272727275</v>
      </c>
    </row>
    <row r="16" spans="1:28" ht="14.25" customHeight="1" x14ac:dyDescent="0.3">
      <c r="A16" s="3" t="s">
        <v>288</v>
      </c>
      <c r="B16" s="17" t="s">
        <v>289</v>
      </c>
      <c r="C16" s="3" t="s">
        <v>33</v>
      </c>
      <c r="D16" s="17" t="s">
        <v>34</v>
      </c>
      <c r="E16" s="13">
        <v>28423435</v>
      </c>
      <c r="F16" s="13">
        <v>28814643</v>
      </c>
      <c r="G16" s="13">
        <v>29198142</v>
      </c>
      <c r="H16" s="13">
        <v>29571415</v>
      </c>
      <c r="I16" s="13">
        <v>29953018</v>
      </c>
      <c r="J16" s="13">
        <v>30358144</v>
      </c>
      <c r="K16" s="13">
        <v>30771178</v>
      </c>
      <c r="L16" s="13">
        <v>31186468</v>
      </c>
      <c r="M16" s="13">
        <v>31606767</v>
      </c>
      <c r="N16" s="13">
        <v>32030778</v>
      </c>
      <c r="O16" s="13">
        <v>32467016</v>
      </c>
      <c r="P16" s="13">
        <v>32912588</v>
      </c>
      <c r="Q16" s="13">
        <v>33355241</v>
      </c>
      <c r="R16" s="13">
        <v>33787571</v>
      </c>
      <c r="S16" s="13">
        <v>34204780</v>
      </c>
      <c r="T16" s="13">
        <v>34607588</v>
      </c>
      <c r="U16" s="13">
        <v>35023457</v>
      </c>
      <c r="V16" s="13">
        <v>35446392</v>
      </c>
      <c r="W16" s="13">
        <v>35839760</v>
      </c>
      <c r="X16" s="13">
        <v>36210898</v>
      </c>
      <c r="Y16" s="13">
        <v>36584208</v>
      </c>
      <c r="Z16" s="13">
        <v>36954442</v>
      </c>
      <c r="AA16" s="3"/>
      <c r="AB16" s="3">
        <f t="shared" si="0"/>
        <v>32695814.954545453</v>
      </c>
    </row>
    <row r="17" spans="1:28" ht="14.25" customHeight="1" x14ac:dyDescent="0.3">
      <c r="A17" s="3" t="s">
        <v>288</v>
      </c>
      <c r="B17" s="17" t="s">
        <v>289</v>
      </c>
      <c r="C17" s="3" t="s">
        <v>35</v>
      </c>
      <c r="D17" s="17" t="s">
        <v>36</v>
      </c>
      <c r="E17" s="13">
        <v>45290841</v>
      </c>
      <c r="F17" s="13">
        <v>45771139</v>
      </c>
      <c r="G17" s="13">
        <v>46232653</v>
      </c>
      <c r="H17" s="13">
        <v>46667192</v>
      </c>
      <c r="I17" s="13">
        <v>47068772</v>
      </c>
      <c r="J17" s="13">
        <v>47438365</v>
      </c>
      <c r="K17" s="13">
        <v>47785135</v>
      </c>
      <c r="L17" s="13">
        <v>48125043</v>
      </c>
      <c r="M17" s="13">
        <v>48390793</v>
      </c>
      <c r="N17" s="13">
        <v>48660459</v>
      </c>
      <c r="O17" s="13">
        <v>49024382</v>
      </c>
      <c r="P17" s="13">
        <v>49419820</v>
      </c>
      <c r="Q17" s="13">
        <v>49837446</v>
      </c>
      <c r="R17" s="13">
        <v>50262658</v>
      </c>
      <c r="S17" s="13">
        <v>50681634</v>
      </c>
      <c r="T17" s="13">
        <v>51089056</v>
      </c>
      <c r="U17" s="13">
        <v>51495696</v>
      </c>
      <c r="V17" s="13">
        <v>51894938</v>
      </c>
      <c r="W17" s="13">
        <v>52272247</v>
      </c>
      <c r="X17" s="13">
        <v>52640713</v>
      </c>
      <c r="Y17" s="13">
        <v>53016522</v>
      </c>
      <c r="Z17" s="13">
        <v>53387102</v>
      </c>
      <c r="AA17" s="3"/>
      <c r="AB17" s="3">
        <f t="shared" si="0"/>
        <v>49384209.363636367</v>
      </c>
    </row>
    <row r="18" spans="1:28" ht="14.25" customHeight="1" x14ac:dyDescent="0.3">
      <c r="A18" s="3" t="s">
        <v>288</v>
      </c>
      <c r="B18" s="17" t="s">
        <v>289</v>
      </c>
      <c r="C18" s="3" t="s">
        <v>37</v>
      </c>
      <c r="D18" s="17" t="s">
        <v>38</v>
      </c>
      <c r="E18" s="13">
        <v>5022633</v>
      </c>
      <c r="F18" s="13">
        <v>5087825</v>
      </c>
      <c r="G18" s="13">
        <v>5149909</v>
      </c>
      <c r="H18" s="13">
        <v>5210963</v>
      </c>
      <c r="I18" s="13">
        <v>5272912</v>
      </c>
      <c r="J18" s="13">
        <v>5342105</v>
      </c>
      <c r="K18" s="13">
        <v>5418855</v>
      </c>
      <c r="L18" s="13">
        <v>5497243</v>
      </c>
      <c r="M18" s="13">
        <v>5576593</v>
      </c>
      <c r="N18" s="13">
        <v>5656601</v>
      </c>
      <c r="O18" s="13">
        <v>5737450</v>
      </c>
      <c r="P18" s="13">
        <v>5819051</v>
      </c>
      <c r="Q18" s="13">
        <v>5901287</v>
      </c>
      <c r="R18" s="13">
        <v>5983845</v>
      </c>
      <c r="S18" s="13">
        <v>6066492</v>
      </c>
      <c r="T18" s="13">
        <v>6149417</v>
      </c>
      <c r="U18" s="13">
        <v>6232666</v>
      </c>
      <c r="V18" s="13">
        <v>6316231</v>
      </c>
      <c r="W18" s="13">
        <v>6400080</v>
      </c>
      <c r="X18" s="13">
        <v>6483657</v>
      </c>
      <c r="Y18" s="13">
        <v>6565267</v>
      </c>
      <c r="Z18" s="13">
        <v>6644741</v>
      </c>
      <c r="AA18" s="3"/>
      <c r="AB18" s="3">
        <f t="shared" si="0"/>
        <v>5797082.8636363633</v>
      </c>
    </row>
    <row r="19" spans="1:28" ht="14.25" customHeight="1" x14ac:dyDescent="0.3">
      <c r="A19" s="3" t="s">
        <v>288</v>
      </c>
      <c r="B19" s="17" t="s">
        <v>289</v>
      </c>
      <c r="C19" s="3" t="s">
        <v>39</v>
      </c>
      <c r="D19" s="17" t="s">
        <v>40</v>
      </c>
      <c r="E19" s="19">
        <v>126000000</v>
      </c>
      <c r="F19" s="19">
        <v>130000000</v>
      </c>
      <c r="G19" s="19">
        <v>133000000</v>
      </c>
      <c r="H19" s="19">
        <v>137000000</v>
      </c>
      <c r="I19" s="19">
        <v>141000000</v>
      </c>
      <c r="J19" s="19">
        <v>145000000</v>
      </c>
      <c r="K19" s="19">
        <v>149000000</v>
      </c>
      <c r="L19" s="19">
        <v>153000000</v>
      </c>
      <c r="M19" s="19">
        <v>158000000</v>
      </c>
      <c r="N19" s="19">
        <v>162000000</v>
      </c>
      <c r="O19" s="19">
        <v>167000000</v>
      </c>
      <c r="P19" s="19">
        <v>171000000</v>
      </c>
      <c r="Q19" s="19">
        <v>176000000</v>
      </c>
      <c r="R19" s="19">
        <v>181000000</v>
      </c>
      <c r="S19" s="19">
        <v>186000000</v>
      </c>
      <c r="T19" s="19">
        <v>191000000</v>
      </c>
      <c r="U19" s="19">
        <v>195000000</v>
      </c>
      <c r="V19" s="19">
        <v>200000000</v>
      </c>
      <c r="W19" s="19">
        <v>205000000</v>
      </c>
      <c r="X19" s="19">
        <v>209000000</v>
      </c>
      <c r="Y19" s="19">
        <v>214000000</v>
      </c>
      <c r="Z19" s="19">
        <v>219000000</v>
      </c>
      <c r="AA19" s="3"/>
      <c r="AB19" s="20">
        <f t="shared" si="0"/>
        <v>170363636.36363637</v>
      </c>
    </row>
    <row r="20" spans="1:28" ht="14.25" customHeight="1" x14ac:dyDescent="0.3">
      <c r="A20" s="3" t="s">
        <v>288</v>
      </c>
      <c r="B20" s="17" t="s">
        <v>289</v>
      </c>
      <c r="C20" s="3" t="s">
        <v>41</v>
      </c>
      <c r="D20" s="17" t="s">
        <v>42</v>
      </c>
      <c r="E20" s="19">
        <v>155000000</v>
      </c>
      <c r="F20" s="19">
        <v>159000000</v>
      </c>
      <c r="G20" s="19">
        <v>163000000</v>
      </c>
      <c r="H20" s="19">
        <v>167000000</v>
      </c>
      <c r="I20" s="19">
        <v>171000000</v>
      </c>
      <c r="J20" s="19">
        <v>175000000</v>
      </c>
      <c r="K20" s="19">
        <v>180000000</v>
      </c>
      <c r="L20" s="19">
        <v>184000000</v>
      </c>
      <c r="M20" s="19">
        <v>189000000</v>
      </c>
      <c r="N20" s="19">
        <v>194000000</v>
      </c>
      <c r="O20" s="19">
        <v>199000000</v>
      </c>
      <c r="P20" s="19">
        <v>204000000</v>
      </c>
      <c r="Q20" s="19">
        <v>208000000</v>
      </c>
      <c r="R20" s="19">
        <v>211000000</v>
      </c>
      <c r="S20" s="19">
        <v>214000000</v>
      </c>
      <c r="T20" s="19">
        <v>217000000</v>
      </c>
      <c r="U20" s="19">
        <v>220000000</v>
      </c>
      <c r="V20" s="19">
        <v>223000000</v>
      </c>
      <c r="W20" s="19">
        <v>227000000</v>
      </c>
      <c r="X20" s="19">
        <v>231000000</v>
      </c>
      <c r="Y20" s="19">
        <v>235000000</v>
      </c>
      <c r="Z20" s="19">
        <v>239000000</v>
      </c>
      <c r="AA20" s="3"/>
      <c r="AB20" s="20">
        <f t="shared" si="0"/>
        <v>198409090.90909091</v>
      </c>
    </row>
    <row r="21" spans="1:28" ht="14.25" customHeight="1" x14ac:dyDescent="0.3">
      <c r="A21" s="3" t="s">
        <v>288</v>
      </c>
      <c r="B21" s="17" t="s">
        <v>289</v>
      </c>
      <c r="C21" s="3" t="s">
        <v>43</v>
      </c>
      <c r="D21" s="17" t="s">
        <v>44</v>
      </c>
      <c r="E21" s="13">
        <v>5537064</v>
      </c>
      <c r="F21" s="13">
        <v>5728435</v>
      </c>
      <c r="G21" s="13">
        <v>5924003</v>
      </c>
      <c r="H21" s="13">
        <v>6123997</v>
      </c>
      <c r="I21" s="13">
        <v>6328041</v>
      </c>
      <c r="J21" s="13">
        <v>6535905</v>
      </c>
      <c r="K21" s="13">
        <v>6747720</v>
      </c>
      <c r="L21" s="13">
        <v>6963345</v>
      </c>
      <c r="M21" s="13">
        <v>7183002</v>
      </c>
      <c r="N21" s="13">
        <v>7406438</v>
      </c>
      <c r="O21" s="13">
        <v>7633523</v>
      </c>
      <c r="P21" s="13">
        <v>7859346</v>
      </c>
      <c r="Q21" s="13">
        <v>8081390</v>
      </c>
      <c r="R21" s="13">
        <v>8302698</v>
      </c>
      <c r="S21" s="13">
        <v>8523441</v>
      </c>
      <c r="T21" s="13">
        <v>8743246</v>
      </c>
      <c r="U21" s="13">
        <v>8961718</v>
      </c>
      <c r="V21" s="13">
        <v>9178714</v>
      </c>
      <c r="W21" s="13">
        <v>9394513</v>
      </c>
      <c r="X21" s="13">
        <v>9609010</v>
      </c>
      <c r="Y21" s="13">
        <v>9815746</v>
      </c>
      <c r="Z21" s="13">
        <v>10012896</v>
      </c>
      <c r="AA21" s="3"/>
      <c r="AB21" s="3">
        <f t="shared" si="0"/>
        <v>7754281.4090909092</v>
      </c>
    </row>
    <row r="22" spans="1:28" ht="14.25" customHeight="1" x14ac:dyDescent="0.3">
      <c r="A22" s="3" t="s">
        <v>288</v>
      </c>
      <c r="B22" s="17" t="s">
        <v>289</v>
      </c>
      <c r="C22" s="3" t="s">
        <v>45</v>
      </c>
      <c r="D22" s="17" t="s">
        <v>46</v>
      </c>
      <c r="E22" s="13">
        <v>79625397</v>
      </c>
      <c r="F22" s="13">
        <v>81401488</v>
      </c>
      <c r="G22" s="13">
        <v>83068889</v>
      </c>
      <c r="H22" s="13">
        <v>84731835</v>
      </c>
      <c r="I22" s="13">
        <v>86394504</v>
      </c>
      <c r="J22" s="13">
        <v>88015962</v>
      </c>
      <c r="K22" s="13">
        <v>89508986</v>
      </c>
      <c r="L22" s="13">
        <v>91075184</v>
      </c>
      <c r="M22" s="13">
        <v>92699095</v>
      </c>
      <c r="N22" s="13">
        <v>94384250</v>
      </c>
      <c r="O22" s="13">
        <v>96337125</v>
      </c>
      <c r="P22" s="13">
        <v>98248614</v>
      </c>
      <c r="Q22" s="19">
        <v>100000000</v>
      </c>
      <c r="R22" s="19">
        <v>102000000</v>
      </c>
      <c r="S22" s="19">
        <v>104000000</v>
      </c>
      <c r="T22" s="19">
        <v>105000000</v>
      </c>
      <c r="U22" s="19">
        <v>107000000</v>
      </c>
      <c r="V22" s="19">
        <v>108000000</v>
      </c>
      <c r="W22" s="19">
        <v>109000000</v>
      </c>
      <c r="X22" s="19">
        <v>111000000</v>
      </c>
      <c r="Y22" s="19">
        <v>112000000</v>
      </c>
      <c r="Z22" s="19">
        <v>113000000</v>
      </c>
      <c r="AA22" s="3"/>
      <c r="AB22" s="3">
        <f t="shared" si="0"/>
        <v>97113242.227272734</v>
      </c>
    </row>
    <row r="23" spans="1:28" ht="14.25" customHeight="1" x14ac:dyDescent="0.3">
      <c r="A23" s="3" t="s">
        <v>288</v>
      </c>
      <c r="B23" s="17" t="s">
        <v>289</v>
      </c>
      <c r="C23" s="3" t="s">
        <v>47</v>
      </c>
      <c r="D23" s="17" t="s">
        <v>48</v>
      </c>
      <c r="E23" s="13">
        <v>9968260</v>
      </c>
      <c r="F23" s="13">
        <v>10212942</v>
      </c>
      <c r="G23" s="13">
        <v>10466214</v>
      </c>
      <c r="H23" s="13">
        <v>10721176</v>
      </c>
      <c r="I23" s="13">
        <v>10975704</v>
      </c>
      <c r="J23" s="13">
        <v>11235472</v>
      </c>
      <c r="K23" s="13">
        <v>11500094</v>
      </c>
      <c r="L23" s="13">
        <v>11770344</v>
      </c>
      <c r="M23" s="13">
        <v>12048959</v>
      </c>
      <c r="N23" s="13">
        <v>12337389</v>
      </c>
      <c r="O23" s="13">
        <v>12635413</v>
      </c>
      <c r="P23" s="13">
        <v>12958897</v>
      </c>
      <c r="Q23" s="13">
        <v>13310495</v>
      </c>
      <c r="R23" s="13">
        <v>13710849</v>
      </c>
      <c r="S23" s="13">
        <v>14152102</v>
      </c>
      <c r="T23" s="13">
        <v>14593331</v>
      </c>
      <c r="U23" s="13">
        <v>15034521</v>
      </c>
      <c r="V23" s="13">
        <v>15475002</v>
      </c>
      <c r="W23" s="13">
        <v>15914498</v>
      </c>
      <c r="X23" s="13">
        <v>16352922</v>
      </c>
      <c r="Y23" s="13">
        <v>16789219</v>
      </c>
      <c r="Z23" s="13">
        <v>17220867</v>
      </c>
      <c r="AA23" s="3"/>
      <c r="AB23" s="3">
        <f t="shared" si="0"/>
        <v>13153848.636363637</v>
      </c>
    </row>
    <row r="24" spans="1:28" ht="14.25" customHeight="1" x14ac:dyDescent="0.3">
      <c r="A24" s="3" t="s">
        <v>288</v>
      </c>
      <c r="B24" s="17" t="s">
        <v>289</v>
      </c>
      <c r="C24" s="3" t="s">
        <v>49</v>
      </c>
      <c r="D24" s="17" t="s">
        <v>50</v>
      </c>
      <c r="E24" s="13">
        <v>19293054</v>
      </c>
      <c r="F24" s="13">
        <v>19600362</v>
      </c>
      <c r="G24" s="13">
        <v>19805752</v>
      </c>
      <c r="H24" s="13">
        <v>19951521</v>
      </c>
      <c r="I24" s="13">
        <v>20087605</v>
      </c>
      <c r="J24" s="13">
        <v>20216524</v>
      </c>
      <c r="K24" s="13">
        <v>20352411</v>
      </c>
      <c r="L24" s="13">
        <v>20492545</v>
      </c>
      <c r="M24" s="13">
        <v>20629378</v>
      </c>
      <c r="N24" s="13">
        <v>20756435</v>
      </c>
      <c r="O24" s="13">
        <v>20879089</v>
      </c>
      <c r="P24" s="13">
        <v>21009048</v>
      </c>
      <c r="Q24" s="13">
        <v>21169458</v>
      </c>
      <c r="R24" s="13">
        <v>20585000</v>
      </c>
      <c r="S24" s="13">
        <v>20778000</v>
      </c>
      <c r="T24" s="13">
        <v>20970000</v>
      </c>
      <c r="U24" s="13">
        <v>21209000</v>
      </c>
      <c r="V24" s="13">
        <v>21444000</v>
      </c>
      <c r="W24" s="13">
        <v>21670000</v>
      </c>
      <c r="X24" s="13">
        <v>21803000</v>
      </c>
      <c r="Y24" s="13">
        <v>21919000</v>
      </c>
      <c r="Z24" s="13">
        <v>22156000</v>
      </c>
      <c r="AA24" s="3"/>
      <c r="AB24" s="3">
        <f t="shared" si="0"/>
        <v>20762599.181818184</v>
      </c>
    </row>
    <row r="25" spans="1:28" ht="14.25" customHeight="1" x14ac:dyDescent="0.3">
      <c r="A25" s="3" t="s">
        <v>288</v>
      </c>
      <c r="B25" s="17" t="s">
        <v>289</v>
      </c>
      <c r="C25" s="3" t="s">
        <v>103</v>
      </c>
      <c r="D25" s="17" t="s">
        <v>52</v>
      </c>
      <c r="E25" s="13">
        <v>34260139</v>
      </c>
      <c r="F25" s="13">
        <v>35198299</v>
      </c>
      <c r="G25" s="13">
        <v>36121304</v>
      </c>
      <c r="H25" s="13">
        <v>37089555</v>
      </c>
      <c r="I25" s="13">
        <v>38109668</v>
      </c>
      <c r="J25" s="13">
        <v>39182076</v>
      </c>
      <c r="K25" s="13">
        <v>40294902</v>
      </c>
      <c r="L25" s="13">
        <v>41435512</v>
      </c>
      <c r="M25" s="13">
        <v>42570728</v>
      </c>
      <c r="N25" s="13">
        <v>43633982</v>
      </c>
      <c r="O25" s="13">
        <v>44758488</v>
      </c>
      <c r="P25" s="13">
        <v>46029367</v>
      </c>
      <c r="Q25" s="13">
        <v>47374260</v>
      </c>
      <c r="R25" s="13">
        <v>48824128</v>
      </c>
      <c r="S25" s="13">
        <v>50351512</v>
      </c>
      <c r="T25" s="13">
        <v>52020962</v>
      </c>
      <c r="U25" s="13">
        <v>53824013</v>
      </c>
      <c r="V25" s="13">
        <v>55652890</v>
      </c>
      <c r="W25" s="13">
        <v>57437145</v>
      </c>
      <c r="X25" s="13">
        <v>59174891</v>
      </c>
      <c r="Y25" s="13">
        <v>60972798</v>
      </c>
      <c r="Z25" s="13">
        <v>62830412</v>
      </c>
      <c r="AA25" s="3"/>
      <c r="AB25" s="3">
        <f t="shared" si="0"/>
        <v>46688501.409090906</v>
      </c>
    </row>
    <row r="26" spans="1:28" ht="14.25" customHeight="1" x14ac:dyDescent="0.3">
      <c r="A26" s="3" t="s">
        <v>288</v>
      </c>
      <c r="B26" s="17" t="s">
        <v>289</v>
      </c>
      <c r="C26" s="3" t="s">
        <v>53</v>
      </c>
      <c r="D26" s="17" t="s">
        <v>54</v>
      </c>
      <c r="E26" s="13">
        <v>9764935</v>
      </c>
      <c r="F26" s="13">
        <v>9869677</v>
      </c>
      <c r="G26" s="13">
        <v>9971515</v>
      </c>
      <c r="H26" s="13">
        <v>10071632</v>
      </c>
      <c r="I26" s="13">
        <v>10166163</v>
      </c>
      <c r="J26" s="13">
        <v>10255472</v>
      </c>
      <c r="K26" s="13">
        <v>10346410</v>
      </c>
      <c r="L26" s="13">
        <v>10441702</v>
      </c>
      <c r="M26" s="13">
        <v>10542635</v>
      </c>
      <c r="N26" s="13">
        <v>10650681</v>
      </c>
      <c r="O26" s="13">
        <v>10765980</v>
      </c>
      <c r="P26" s="13">
        <v>10886035</v>
      </c>
      <c r="Q26" s="13">
        <v>11009647</v>
      </c>
      <c r="R26" s="13">
        <v>11141361</v>
      </c>
      <c r="S26" s="13">
        <v>11274288</v>
      </c>
      <c r="T26" s="13">
        <v>11402264</v>
      </c>
      <c r="U26" s="13">
        <v>11528674</v>
      </c>
      <c r="V26" s="13">
        <v>11650498</v>
      </c>
      <c r="W26" s="13">
        <v>11765514</v>
      </c>
      <c r="X26" s="13">
        <v>11875081</v>
      </c>
      <c r="Y26" s="13">
        <v>11974057</v>
      </c>
      <c r="Z26" s="13">
        <v>12048622</v>
      </c>
      <c r="AA26" s="3"/>
      <c r="AB26" s="3">
        <f t="shared" si="0"/>
        <v>10881947.409090908</v>
      </c>
    </row>
    <row r="27" spans="1:28" ht="14.25" customHeight="1" x14ac:dyDescent="0.3">
      <c r="A27" s="3" t="s">
        <v>288</v>
      </c>
      <c r="B27" s="17" t="s">
        <v>289</v>
      </c>
      <c r="C27" s="3" t="s">
        <v>283</v>
      </c>
      <c r="D27" s="17" t="s">
        <v>56</v>
      </c>
      <c r="E27" s="13">
        <v>77154011</v>
      </c>
      <c r="F27" s="13">
        <v>77969361</v>
      </c>
      <c r="G27" s="13">
        <v>78772224</v>
      </c>
      <c r="H27" s="13">
        <v>79563777</v>
      </c>
      <c r="I27" s="13">
        <v>80338971</v>
      </c>
      <c r="J27" s="13">
        <v>81088313</v>
      </c>
      <c r="K27" s="13">
        <v>82167897</v>
      </c>
      <c r="L27" s="13">
        <v>83633375</v>
      </c>
      <c r="M27" s="13">
        <v>85175788</v>
      </c>
      <c r="N27" s="13">
        <v>86460018</v>
      </c>
      <c r="O27" s="13">
        <v>87455152</v>
      </c>
      <c r="P27" s="13">
        <v>88468314</v>
      </c>
      <c r="Q27" s="13">
        <v>89510356</v>
      </c>
      <c r="R27" s="13">
        <v>90573104</v>
      </c>
      <c r="S27" s="13">
        <v>91679578</v>
      </c>
      <c r="T27" s="13">
        <v>92823254</v>
      </c>
      <c r="U27" s="13">
        <v>94000117</v>
      </c>
      <c r="V27" s="13">
        <v>95176977</v>
      </c>
      <c r="W27" s="13">
        <v>96237319</v>
      </c>
      <c r="X27" s="13">
        <v>97173776</v>
      </c>
      <c r="Y27" s="13">
        <v>98079191</v>
      </c>
      <c r="Z27" s="13">
        <v>98935098</v>
      </c>
      <c r="AA27" s="3"/>
      <c r="AB27" s="3">
        <f t="shared" si="0"/>
        <v>87837998.681818187</v>
      </c>
    </row>
    <row r="28" spans="1:28" ht="14.25" customHeight="1" x14ac:dyDescent="0.3">
      <c r="A28" s="3" t="s">
        <v>288</v>
      </c>
      <c r="B28" s="17" t="s">
        <v>289</v>
      </c>
      <c r="C28" s="3" t="s">
        <v>57</v>
      </c>
      <c r="D28" s="17" t="s">
        <v>58</v>
      </c>
      <c r="E28" s="13">
        <v>10017631</v>
      </c>
      <c r="F28" s="13">
        <v>10325185</v>
      </c>
      <c r="G28" s="13">
        <v>10647949</v>
      </c>
      <c r="H28" s="13">
        <v>10983595</v>
      </c>
      <c r="I28" s="13">
        <v>11338198</v>
      </c>
      <c r="J28" s="13">
        <v>11718819</v>
      </c>
      <c r="K28" s="13">
        <v>12129553</v>
      </c>
      <c r="L28" s="13">
        <v>12565085</v>
      </c>
      <c r="M28" s="13">
        <v>13021324</v>
      </c>
      <c r="N28" s="13">
        <v>13490389</v>
      </c>
      <c r="O28" s="13">
        <v>13965594</v>
      </c>
      <c r="P28" s="13">
        <v>14437796</v>
      </c>
      <c r="Q28" s="13">
        <v>14913629</v>
      </c>
      <c r="R28" s="13">
        <v>15398997</v>
      </c>
      <c r="S28" s="13">
        <v>15895315</v>
      </c>
      <c r="T28" s="13">
        <v>16399089</v>
      </c>
      <c r="U28" s="13">
        <v>16914423</v>
      </c>
      <c r="V28" s="13">
        <v>17441320</v>
      </c>
      <c r="W28" s="13">
        <v>17973569</v>
      </c>
      <c r="X28" s="13">
        <v>18513839</v>
      </c>
      <c r="Y28" s="13">
        <v>19059395</v>
      </c>
      <c r="Z28" s="13">
        <v>19603607</v>
      </c>
      <c r="AA28" s="3"/>
      <c r="AB28" s="3">
        <f t="shared" si="0"/>
        <v>14397922.772727273</v>
      </c>
    </row>
    <row r="29" spans="1:28" ht="14.2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4.2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ht="14.2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ht="14.25" customHeight="1" x14ac:dyDescent="0.3">
      <c r="A32" s="29" t="s">
        <v>284</v>
      </c>
      <c r="B32" s="27"/>
      <c r="C32" s="27"/>
      <c r="D32" s="27"/>
      <c r="E32" s="27"/>
      <c r="F32" s="3"/>
      <c r="G32" s="3"/>
      <c r="H32" s="3"/>
      <c r="I32" s="3"/>
      <c r="J32" s="3"/>
      <c r="K32" s="3"/>
      <c r="L32" s="3"/>
      <c r="M32" s="3"/>
      <c r="N32" s="3"/>
      <c r="O32" s="3"/>
      <c r="P32" s="3"/>
      <c r="Q32" s="3"/>
      <c r="R32" s="3"/>
      <c r="S32" s="3"/>
      <c r="T32" s="3"/>
      <c r="U32" s="3"/>
      <c r="V32" s="3"/>
      <c r="W32" s="3"/>
      <c r="X32" s="3"/>
      <c r="Y32" s="3"/>
      <c r="Z32" s="3"/>
      <c r="AA32" s="3"/>
      <c r="AB32" s="3"/>
    </row>
    <row r="33" spans="1:28" ht="14.25" customHeight="1" x14ac:dyDescent="0.3">
      <c r="A33" s="29" t="s">
        <v>285</v>
      </c>
      <c r="B33" s="27"/>
      <c r="C33" s="27"/>
      <c r="D33" s="3"/>
      <c r="E33" s="3"/>
      <c r="F33" s="3"/>
      <c r="G33" s="3"/>
      <c r="H33" s="3"/>
      <c r="I33" s="3"/>
      <c r="J33" s="3"/>
      <c r="K33" s="3"/>
      <c r="L33" s="3"/>
      <c r="M33" s="3"/>
      <c r="N33" s="3"/>
      <c r="O33" s="3"/>
      <c r="P33" s="3"/>
      <c r="Q33" s="3"/>
      <c r="R33" s="3"/>
      <c r="S33" s="3"/>
      <c r="T33" s="3"/>
      <c r="U33" s="3"/>
      <c r="V33" s="3"/>
      <c r="W33" s="3"/>
      <c r="X33" s="3"/>
      <c r="Y33" s="3"/>
      <c r="Z33" s="3"/>
      <c r="AA33" s="3"/>
      <c r="AB33" s="3"/>
    </row>
    <row r="34" spans="1:28" ht="14.2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4.25" customHeight="1" x14ac:dyDescent="0.3"/>
    <row r="36" spans="1:28" ht="14.25" customHeight="1" x14ac:dyDescent="0.3"/>
    <row r="37" spans="1:28" ht="14.25" customHeight="1" x14ac:dyDescent="0.3"/>
    <row r="38" spans="1:28" ht="14.25" customHeight="1" x14ac:dyDescent="0.3"/>
    <row r="39" spans="1:28" ht="14.25" customHeight="1" x14ac:dyDescent="0.3"/>
    <row r="40" spans="1:28" ht="14.25" customHeight="1" x14ac:dyDescent="0.3"/>
    <row r="41" spans="1:28" ht="14.25" customHeight="1" x14ac:dyDescent="0.3"/>
    <row r="42" spans="1:28" ht="14.25" customHeight="1" x14ac:dyDescent="0.3"/>
    <row r="43" spans="1:28" ht="14.25" customHeight="1" x14ac:dyDescent="0.3"/>
    <row r="44" spans="1:28" ht="14.25" customHeight="1" x14ac:dyDescent="0.3"/>
    <row r="45" spans="1:28" ht="14.25" customHeight="1" x14ac:dyDescent="0.3"/>
    <row r="46" spans="1:28" ht="14.25" customHeight="1" x14ac:dyDescent="0.3"/>
    <row r="47" spans="1:28" ht="14.25" customHeight="1" x14ac:dyDescent="0.3"/>
    <row r="48" spans="1:2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mergeCells count="3">
    <mergeCell ref="Z1:AA1"/>
    <mergeCell ref="A32:E32"/>
    <mergeCell ref="A33:C33"/>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92"/>
  <sheetViews>
    <sheetView workbookViewId="0"/>
  </sheetViews>
  <sheetFormatPr defaultColWidth="14.44140625" defaultRowHeight="15" customHeight="1" x14ac:dyDescent="0.3"/>
  <cols>
    <col min="1" max="1" width="17.33203125" customWidth="1"/>
    <col min="2" max="3" width="14" customWidth="1"/>
    <col min="4" max="8" width="8.6640625" customWidth="1"/>
    <col min="9" max="9" width="23.88671875" customWidth="1"/>
    <col min="10" max="28" width="8.6640625" customWidth="1"/>
  </cols>
  <sheetData>
    <row r="1" spans="1:28" ht="14.25" customHeight="1" x14ac:dyDescent="0.3">
      <c r="A1" s="3" t="s">
        <v>277</v>
      </c>
      <c r="B1" s="3" t="s">
        <v>278</v>
      </c>
      <c r="C1" s="3" t="s">
        <v>279</v>
      </c>
      <c r="D1" s="3" t="s">
        <v>280</v>
      </c>
      <c r="E1" s="3" t="s">
        <v>78</v>
      </c>
      <c r="F1" s="3" t="s">
        <v>79</v>
      </c>
      <c r="G1" s="3" t="s">
        <v>80</v>
      </c>
      <c r="H1" s="3" t="s">
        <v>81</v>
      </c>
      <c r="I1" s="3" t="s">
        <v>82</v>
      </c>
      <c r="J1" s="3" t="s">
        <v>83</v>
      </c>
      <c r="K1" s="3" t="s">
        <v>84</v>
      </c>
      <c r="L1" s="3" t="s">
        <v>85</v>
      </c>
      <c r="M1" s="3" t="s">
        <v>86</v>
      </c>
      <c r="N1" s="3" t="s">
        <v>87</v>
      </c>
      <c r="O1" s="3" t="s">
        <v>88</v>
      </c>
      <c r="P1" s="3" t="s">
        <v>89</v>
      </c>
      <c r="Q1" s="3" t="s">
        <v>90</v>
      </c>
      <c r="R1" s="3" t="s">
        <v>91</v>
      </c>
      <c r="S1" s="3" t="s">
        <v>92</v>
      </c>
      <c r="T1" s="3" t="s">
        <v>93</v>
      </c>
      <c r="U1" s="3" t="s">
        <v>94</v>
      </c>
      <c r="V1" s="3" t="s">
        <v>95</v>
      </c>
      <c r="W1" s="3" t="s">
        <v>96</v>
      </c>
      <c r="X1" s="3" t="s">
        <v>97</v>
      </c>
      <c r="Y1" s="3" t="s">
        <v>98</v>
      </c>
      <c r="Z1" s="3" t="s">
        <v>99</v>
      </c>
      <c r="AA1" s="3"/>
      <c r="AB1" s="3" t="s">
        <v>100</v>
      </c>
    </row>
    <row r="2" spans="1:28" ht="14.25" customHeight="1" x14ac:dyDescent="0.3">
      <c r="A2" s="3" t="s">
        <v>290</v>
      </c>
      <c r="B2" s="3" t="s">
        <v>291</v>
      </c>
      <c r="C2" s="3" t="s">
        <v>4</v>
      </c>
      <c r="D2" s="3" t="s">
        <v>5</v>
      </c>
      <c r="E2" s="13">
        <v>9.6238659999999996</v>
      </c>
      <c r="F2" s="13">
        <v>24.009080000000001</v>
      </c>
      <c r="G2" s="13">
        <v>11.40619</v>
      </c>
      <c r="H2" s="13">
        <v>20.081009999999999</v>
      </c>
      <c r="I2" s="13">
        <v>9.3292389999999994</v>
      </c>
      <c r="J2" s="13">
        <v>-3.5266600000000001</v>
      </c>
      <c r="K2" s="13">
        <v>-7.1999999999999995E-2</v>
      </c>
      <c r="L2" s="13">
        <v>-1.36876</v>
      </c>
      <c r="M2" s="13">
        <v>1.8963140000000001</v>
      </c>
      <c r="N2" s="13">
        <v>3.1366610000000001</v>
      </c>
      <c r="O2" s="13">
        <v>-3.8511099999999998</v>
      </c>
      <c r="P2" s="13">
        <v>-2.7048700000000001</v>
      </c>
      <c r="Q2" s="13">
        <v>-1.14377</v>
      </c>
      <c r="R2" s="13">
        <v>-5.3801300000000003</v>
      </c>
      <c r="S2" s="13">
        <v>2.6900059999999999</v>
      </c>
      <c r="T2" s="13">
        <v>11.081340000000001</v>
      </c>
      <c r="U2" s="13">
        <v>-0.34023999999999999</v>
      </c>
      <c r="V2" s="13">
        <v>-10.038399999999999</v>
      </c>
      <c r="W2" s="13">
        <v>-8.1258900000000001</v>
      </c>
      <c r="X2" s="13">
        <v>-5.7808099999999998</v>
      </c>
      <c r="Y2" s="13">
        <v>-3.8482599999999998</v>
      </c>
      <c r="Z2" s="13">
        <v>-6.54854</v>
      </c>
      <c r="AA2" s="13"/>
      <c r="AB2" s="13">
        <f t="shared" ref="AB2:AB28" si="0">AVERAGE(E2:Z2)</f>
        <v>1.8420120909090913</v>
      </c>
    </row>
    <row r="3" spans="1:28" ht="14.25" customHeight="1" x14ac:dyDescent="0.3">
      <c r="A3" s="3" t="s">
        <v>290</v>
      </c>
      <c r="B3" s="3" t="s">
        <v>291</v>
      </c>
      <c r="C3" s="3" t="s">
        <v>7</v>
      </c>
      <c r="D3" s="3" t="s">
        <v>8</v>
      </c>
      <c r="E3" s="13">
        <v>0.525362</v>
      </c>
      <c r="F3" s="13">
        <v>0.14544399999999999</v>
      </c>
      <c r="G3" s="13">
        <v>9.5578999999999997E-2</v>
      </c>
      <c r="H3" s="13">
        <v>0.445961</v>
      </c>
      <c r="I3" s="13">
        <v>0.68947199999999997</v>
      </c>
      <c r="J3" s="13">
        <v>1.170652</v>
      </c>
      <c r="K3" s="13">
        <v>0.63586399999999998</v>
      </c>
      <c r="L3" s="13">
        <v>0.81775699999999996</v>
      </c>
      <c r="M3" s="13">
        <v>1.4496579999999999</v>
      </c>
      <c r="N3" s="13">
        <v>0.87951699999999999</v>
      </c>
      <c r="O3" s="13">
        <v>1.0689679999999999</v>
      </c>
      <c r="P3" s="13">
        <v>0.98339900000000002</v>
      </c>
      <c r="Q3" s="13">
        <v>1.188504</v>
      </c>
      <c r="R3" s="13">
        <v>1.73532</v>
      </c>
      <c r="S3" s="13">
        <v>1.4687030000000001</v>
      </c>
      <c r="T3" s="13">
        <v>1.450782</v>
      </c>
      <c r="U3" s="13">
        <v>0.87952799999999998</v>
      </c>
      <c r="V3" s="13">
        <v>0.61634199999999995</v>
      </c>
      <c r="W3" s="13">
        <v>0.75354900000000002</v>
      </c>
      <c r="X3" s="13">
        <v>0.54324399999999995</v>
      </c>
      <c r="Y3" s="13">
        <v>0.40786</v>
      </c>
      <c r="Z3" s="13">
        <v>0.41411799999999999</v>
      </c>
      <c r="AA3" s="13"/>
      <c r="AB3" s="13">
        <f t="shared" si="0"/>
        <v>0.83479922727272726</v>
      </c>
    </row>
    <row r="4" spans="1:28" ht="14.25" customHeight="1" x14ac:dyDescent="0.3">
      <c r="A4" s="3" t="s">
        <v>290</v>
      </c>
      <c r="B4" s="3" t="s">
        <v>291</v>
      </c>
      <c r="C4" s="3" t="s">
        <v>9</v>
      </c>
      <c r="D4" s="3" t="s">
        <v>10</v>
      </c>
      <c r="E4" s="13">
        <v>8.7683099999999996</v>
      </c>
      <c r="F4" s="13">
        <v>8.6686060000000005</v>
      </c>
      <c r="G4" s="13">
        <v>8.5578939999999992</v>
      </c>
      <c r="H4" s="13">
        <v>2.4423439999999998</v>
      </c>
      <c r="I4" s="13">
        <v>0.74577300000000002</v>
      </c>
      <c r="J4" s="13">
        <v>-2.4988700000000001</v>
      </c>
      <c r="K4" s="13">
        <v>2.4516879999999999</v>
      </c>
      <c r="L4" s="13">
        <v>2.7918539999999998</v>
      </c>
      <c r="M4" s="13">
        <v>3.0726110000000002</v>
      </c>
      <c r="N4" s="13">
        <v>2.4396779999999998</v>
      </c>
      <c r="O4" s="13">
        <v>3.165429</v>
      </c>
      <c r="P4" s="13">
        <v>3.5844230000000001</v>
      </c>
      <c r="Q4" s="13">
        <v>3.9135499999999999</v>
      </c>
      <c r="R4" s="13">
        <v>5.7066220000000003</v>
      </c>
      <c r="S4" s="13">
        <v>1.989825</v>
      </c>
      <c r="T4" s="13">
        <v>1.680728</v>
      </c>
      <c r="U4" s="13">
        <v>0.98807999999999996</v>
      </c>
      <c r="V4" s="13">
        <v>1.8994930000000001</v>
      </c>
      <c r="W4" s="13">
        <v>0.750525</v>
      </c>
      <c r="X4" s="13">
        <v>-0.52973999999999999</v>
      </c>
      <c r="Y4" s="13">
        <v>-3.08352</v>
      </c>
      <c r="Z4" s="13">
        <v>1.444278</v>
      </c>
      <c r="AA4" s="13"/>
      <c r="AB4" s="13">
        <f t="shared" si="0"/>
        <v>2.6795264090909097</v>
      </c>
    </row>
    <row r="5" spans="1:28" ht="14.25" customHeight="1" x14ac:dyDescent="0.3">
      <c r="A5" s="3" t="s">
        <v>290</v>
      </c>
      <c r="B5" s="3" t="s">
        <v>291</v>
      </c>
      <c r="C5" s="3" t="s">
        <v>11</v>
      </c>
      <c r="D5" s="3" t="s">
        <v>12</v>
      </c>
      <c r="E5" s="13">
        <v>1.5114449999999999</v>
      </c>
      <c r="F5" s="13">
        <v>-0.10653</v>
      </c>
      <c r="G5" s="13">
        <v>4.0689849999999996</v>
      </c>
      <c r="H5" s="13">
        <v>2.0969440000000001</v>
      </c>
      <c r="I5" s="13">
        <v>0.36111799999999999</v>
      </c>
      <c r="J5" s="13">
        <v>1.2486079999999999</v>
      </c>
      <c r="K5" s="13">
        <v>0.28273999999999999</v>
      </c>
      <c r="L5" s="13">
        <v>0.79229099999999997</v>
      </c>
      <c r="M5" s="13">
        <v>7.5755000000000003E-2</v>
      </c>
      <c r="N5" s="13">
        <v>2.6716700000000002</v>
      </c>
      <c r="O5" s="13">
        <v>1.949524</v>
      </c>
      <c r="P5" s="13">
        <v>2.1327039999999999</v>
      </c>
      <c r="Q5" s="13">
        <v>1.74884</v>
      </c>
      <c r="R5" s="13">
        <v>1.622968</v>
      </c>
      <c r="S5" s="13">
        <v>1.9948429999999999</v>
      </c>
      <c r="T5" s="13">
        <v>2.15564</v>
      </c>
      <c r="U5" s="13">
        <v>1.963349</v>
      </c>
      <c r="V5" s="13">
        <v>2.2562099999999998</v>
      </c>
      <c r="W5" s="13">
        <v>1.9148579999999999</v>
      </c>
      <c r="X5" s="13">
        <v>2.5834060000000001</v>
      </c>
      <c r="Y5" s="13">
        <v>1.655956</v>
      </c>
      <c r="Z5" s="13">
        <v>2.1406130000000001</v>
      </c>
      <c r="AA5" s="13"/>
      <c r="AB5" s="13">
        <f t="shared" si="0"/>
        <v>1.6873607727272728</v>
      </c>
    </row>
    <row r="6" spans="1:28" ht="14.25" customHeight="1" x14ac:dyDescent="0.3">
      <c r="A6" s="3" t="s">
        <v>290</v>
      </c>
      <c r="B6" s="3" t="s">
        <v>291</v>
      </c>
      <c r="C6" s="3" t="s">
        <v>101</v>
      </c>
      <c r="D6" s="3" t="s">
        <v>14</v>
      </c>
      <c r="E6" s="13">
        <v>-3.0403899999999999</v>
      </c>
      <c r="F6" s="13">
        <v>-4.8442600000000002</v>
      </c>
      <c r="G6" s="13">
        <v>6.5945650000000002</v>
      </c>
      <c r="H6" s="13">
        <v>6.2801460000000002</v>
      </c>
      <c r="I6" s="13">
        <v>1.901621</v>
      </c>
      <c r="J6" s="13">
        <v>12.049849999999999</v>
      </c>
      <c r="K6" s="13">
        <v>18.445979999999999</v>
      </c>
      <c r="L6" s="13">
        <v>16.216560000000001</v>
      </c>
      <c r="M6" s="13">
        <v>16.721</v>
      </c>
      <c r="N6" s="13">
        <v>12.22889</v>
      </c>
      <c r="O6" s="13">
        <v>11.577299999999999</v>
      </c>
      <c r="P6" s="13">
        <v>1.9078349999999999</v>
      </c>
      <c r="Q6" s="13">
        <v>-0.39140000000000003</v>
      </c>
      <c r="R6" s="13">
        <v>10.4621</v>
      </c>
      <c r="S6" s="13">
        <v>16.134</v>
      </c>
      <c r="T6" s="13">
        <v>34.418259999999997</v>
      </c>
      <c r="U6" s="13">
        <v>0.46296900000000002</v>
      </c>
      <c r="V6" s="13">
        <v>0.37968400000000002</v>
      </c>
      <c r="W6" s="13">
        <v>9.2155000000000001E-2</v>
      </c>
      <c r="X6" s="13">
        <v>-10.2148</v>
      </c>
      <c r="Y6" s="13">
        <v>-17.292100000000001</v>
      </c>
      <c r="Z6" s="13">
        <v>-2.1598299999999999</v>
      </c>
      <c r="AA6" s="13"/>
      <c r="AB6" s="13">
        <f t="shared" si="0"/>
        <v>5.8150061363636354</v>
      </c>
    </row>
    <row r="7" spans="1:28" ht="14.25" customHeight="1" x14ac:dyDescent="0.3">
      <c r="A7" s="3" t="s">
        <v>290</v>
      </c>
      <c r="B7" s="3" t="s">
        <v>291</v>
      </c>
      <c r="C7" s="3" t="s">
        <v>282</v>
      </c>
      <c r="D7" s="3" t="s">
        <v>16</v>
      </c>
      <c r="E7" s="13">
        <v>4.7488000000000002E-2</v>
      </c>
      <c r="F7" s="13">
        <v>-3.0810000000000001E-2</v>
      </c>
      <c r="G7" s="13">
        <v>-2.3279999999999999E-2</v>
      </c>
      <c r="H7" s="13">
        <v>0.108996</v>
      </c>
      <c r="I7" s="13">
        <v>-0.10852000000000001</v>
      </c>
      <c r="J7" s="13">
        <v>1.4521809999999999</v>
      </c>
      <c r="K7" s="13">
        <v>1.3882319999999999</v>
      </c>
      <c r="L7" s="13">
        <v>1.5431170000000001</v>
      </c>
      <c r="M7" s="13">
        <v>1.3744190000000001</v>
      </c>
      <c r="N7" s="13">
        <v>1.1733910000000001</v>
      </c>
      <c r="O7" s="13">
        <v>1.026062</v>
      </c>
      <c r="P7" s="13">
        <v>0.82295399999999996</v>
      </c>
      <c r="Q7" s="13">
        <v>0.90973700000000002</v>
      </c>
      <c r="R7" s="13">
        <v>0.95320400000000005</v>
      </c>
      <c r="S7" s="13">
        <v>0.89952900000000002</v>
      </c>
      <c r="T7" s="13">
        <v>1.079142</v>
      </c>
      <c r="U7" s="13">
        <v>1.1937580000000001</v>
      </c>
      <c r="V7" s="13">
        <v>1.856735</v>
      </c>
      <c r="W7" s="13">
        <v>1.059987</v>
      </c>
      <c r="X7" s="13">
        <v>1.4058299999999999</v>
      </c>
      <c r="Y7" s="13">
        <v>1.1311119999999999</v>
      </c>
      <c r="Z7" s="13">
        <v>1.9128270000000001</v>
      </c>
      <c r="AA7" s="13"/>
      <c r="AB7" s="13">
        <f t="shared" si="0"/>
        <v>0.96254959090909087</v>
      </c>
    </row>
    <row r="8" spans="1:28" ht="14.25" customHeight="1" x14ac:dyDescent="0.3">
      <c r="A8" s="3" t="s">
        <v>290</v>
      </c>
      <c r="B8" s="3" t="s">
        <v>291</v>
      </c>
      <c r="C8" s="3" t="s">
        <v>102</v>
      </c>
      <c r="D8" s="3" t="s">
        <v>18</v>
      </c>
      <c r="E8" s="13">
        <v>1.2369969999999999</v>
      </c>
      <c r="F8" s="13">
        <v>0.52738499999999999</v>
      </c>
      <c r="G8" s="13">
        <v>0.75975300000000001</v>
      </c>
      <c r="H8" s="13">
        <v>0.295684</v>
      </c>
      <c r="I8" s="13">
        <v>1.5908359999999999</v>
      </c>
      <c r="J8" s="13">
        <v>5.9995089999999998</v>
      </c>
      <c r="K8" s="13">
        <v>9.3485669999999992</v>
      </c>
      <c r="L8" s="13">
        <v>8.8763360000000002</v>
      </c>
      <c r="M8" s="13">
        <v>5.8314130000000004</v>
      </c>
      <c r="N8" s="13">
        <v>3.5483509999999998</v>
      </c>
      <c r="O8" s="13">
        <v>2.9160170000000001</v>
      </c>
      <c r="P8" s="13">
        <v>-0.20454</v>
      </c>
      <c r="Q8" s="13">
        <v>1.0023409999999999</v>
      </c>
      <c r="R8" s="13">
        <v>1.4534339999999999</v>
      </c>
      <c r="S8" s="13">
        <v>1.50925</v>
      </c>
      <c r="T8" s="13">
        <v>2.1025809999999998</v>
      </c>
      <c r="U8" s="13">
        <v>2.4385629999999998</v>
      </c>
      <c r="V8" s="13">
        <v>2.9830160000000001</v>
      </c>
      <c r="W8" s="13">
        <v>3.1004010000000002</v>
      </c>
      <c r="X8" s="13">
        <v>2.8273290000000002</v>
      </c>
      <c r="Y8" s="13">
        <v>1.524629</v>
      </c>
      <c r="Z8" s="13">
        <v>1.2061789999999999</v>
      </c>
      <c r="AA8" s="13"/>
      <c r="AB8" s="13">
        <f t="shared" si="0"/>
        <v>2.7670014090909087</v>
      </c>
    </row>
    <row r="9" spans="1:28" ht="14.25" customHeight="1" x14ac:dyDescent="0.3">
      <c r="A9" s="3" t="s">
        <v>290</v>
      </c>
      <c r="B9" s="3" t="s">
        <v>291</v>
      </c>
      <c r="C9" s="3" t="s">
        <v>19</v>
      </c>
      <c r="D9" s="3" t="s">
        <v>20</v>
      </c>
      <c r="E9" s="13">
        <v>3.3294190000000001</v>
      </c>
      <c r="F9" s="13">
        <v>1.6805669999999999</v>
      </c>
      <c r="G9" s="13">
        <v>0.95569400000000004</v>
      </c>
      <c r="H9" s="13">
        <v>1.791641</v>
      </c>
      <c r="I9" s="13">
        <v>1.5681050000000001</v>
      </c>
      <c r="J9" s="13">
        <v>1.34924</v>
      </c>
      <c r="K9" s="13">
        <v>3.0452900000000001</v>
      </c>
      <c r="L9" s="13">
        <v>5.5711890000000004</v>
      </c>
      <c r="M9" s="13">
        <v>9.4664389999999994</v>
      </c>
      <c r="N9" s="13">
        <v>9.1080869999999994</v>
      </c>
      <c r="O9" s="13">
        <v>7.8494849999999996</v>
      </c>
      <c r="P9" s="13">
        <v>8.2558799999999994</v>
      </c>
      <c r="Q9" s="13">
        <v>7.9825160000000004</v>
      </c>
      <c r="R9" s="13">
        <v>5.1365210000000001</v>
      </c>
      <c r="S9" s="13">
        <v>6.1394409999999997</v>
      </c>
      <c r="T9" s="13">
        <v>6.4614010000000004</v>
      </c>
      <c r="U9" s="13">
        <v>6.205533</v>
      </c>
      <c r="V9" s="13">
        <v>5.388528</v>
      </c>
      <c r="W9" s="13">
        <v>4.4414309999999997</v>
      </c>
      <c r="X9" s="13">
        <v>5.6774170000000002</v>
      </c>
      <c r="Y9" s="13">
        <v>2.6780409999999999</v>
      </c>
      <c r="Z9" s="13">
        <v>3.1859229999999998</v>
      </c>
      <c r="AA9" s="13"/>
      <c r="AB9" s="13">
        <f t="shared" si="0"/>
        <v>4.8758085454545457</v>
      </c>
    </row>
    <row r="10" spans="1:28" ht="14.25" customHeight="1" x14ac:dyDescent="0.3">
      <c r="A10" s="3" t="s">
        <v>290</v>
      </c>
      <c r="B10" s="3" t="s">
        <v>291</v>
      </c>
      <c r="C10" s="3" t="s">
        <v>21</v>
      </c>
      <c r="D10" s="3" t="s">
        <v>22</v>
      </c>
      <c r="E10" s="13">
        <v>0.194465</v>
      </c>
      <c r="F10" s="13">
        <v>6.9488999999999995E-2</v>
      </c>
      <c r="G10" s="13">
        <v>9.1849E-2</v>
      </c>
      <c r="H10" s="13">
        <v>0.27208500000000002</v>
      </c>
      <c r="I10" s="13">
        <v>9.6921999999999994E-2</v>
      </c>
      <c r="J10" s="13">
        <v>0.369836</v>
      </c>
      <c r="K10" s="13">
        <v>2.1024409999999998</v>
      </c>
      <c r="L10" s="13">
        <v>0.80727000000000004</v>
      </c>
      <c r="M10" s="13">
        <v>0.28563300000000003</v>
      </c>
      <c r="N10" s="13">
        <v>0.47831299999999999</v>
      </c>
      <c r="O10" s="13">
        <v>1.5009300000000001</v>
      </c>
      <c r="P10" s="13">
        <v>0.91476900000000005</v>
      </c>
      <c r="Q10" s="13">
        <v>1.137945</v>
      </c>
      <c r="R10" s="13">
        <v>1.0865199999999999</v>
      </c>
      <c r="S10" s="13">
        <v>0.65359999999999996</v>
      </c>
      <c r="T10" s="13">
        <v>0.71166799999999997</v>
      </c>
      <c r="U10" s="13">
        <v>0.74559600000000004</v>
      </c>
      <c r="V10" s="13">
        <v>2.483609</v>
      </c>
      <c r="W10" s="13">
        <v>0.64009300000000002</v>
      </c>
      <c r="X10" s="13">
        <v>0.49946400000000002</v>
      </c>
      <c r="Y10" s="13">
        <v>0.172316</v>
      </c>
      <c r="Z10" s="13">
        <v>0.24571499999999999</v>
      </c>
      <c r="AA10" s="13"/>
      <c r="AB10" s="13">
        <f t="shared" si="0"/>
        <v>0.7072967272727273</v>
      </c>
    </row>
    <row r="11" spans="1:28" ht="14.25" customHeight="1" x14ac:dyDescent="0.3">
      <c r="A11" s="3" t="s">
        <v>290</v>
      </c>
      <c r="B11" s="3" t="s">
        <v>291</v>
      </c>
      <c r="C11" s="3" t="s">
        <v>23</v>
      </c>
      <c r="D11" s="3" t="s">
        <v>24</v>
      </c>
      <c r="E11" s="13">
        <v>4.8698430000000004</v>
      </c>
      <c r="F11" s="13">
        <v>4.0494070000000004</v>
      </c>
      <c r="G11" s="13">
        <v>3.6562169999999998</v>
      </c>
      <c r="H11" s="13">
        <v>4.7405559999999998</v>
      </c>
      <c r="I11" s="13">
        <v>6.6760640000000002</v>
      </c>
      <c r="J11" s="13">
        <v>6.1602829999999997</v>
      </c>
      <c r="K11" s="13">
        <v>6.5728730000000004</v>
      </c>
      <c r="L11" s="13">
        <v>7.8222329999999998</v>
      </c>
      <c r="M11" s="13">
        <v>8.6502040000000004</v>
      </c>
      <c r="N11" s="13">
        <v>3.389872</v>
      </c>
      <c r="O11" s="13">
        <v>3.834606</v>
      </c>
      <c r="P11" s="13">
        <v>5.8868140000000002</v>
      </c>
      <c r="Q11" s="13">
        <v>5.8361099999999997</v>
      </c>
      <c r="R11" s="13">
        <v>5.7786210000000002</v>
      </c>
      <c r="S11" s="13">
        <v>8.628997</v>
      </c>
      <c r="T11" s="13">
        <v>6.2759429999999998</v>
      </c>
      <c r="U11" s="13">
        <v>5.2815700000000003</v>
      </c>
      <c r="V11" s="13">
        <v>4.1059200000000002</v>
      </c>
      <c r="W11" s="13">
        <v>5.9938609999999999</v>
      </c>
      <c r="X11" s="13">
        <v>3.8384640000000001</v>
      </c>
      <c r="Y11" s="13">
        <v>1.0106820000000001</v>
      </c>
      <c r="Z11" s="13">
        <v>2.8436129999999999</v>
      </c>
      <c r="AA11" s="13"/>
      <c r="AB11" s="13">
        <f t="shared" si="0"/>
        <v>5.2683069545454551</v>
      </c>
    </row>
    <row r="12" spans="1:28" ht="14.25" customHeight="1" x14ac:dyDescent="0.3">
      <c r="A12" s="3" t="s">
        <v>290</v>
      </c>
      <c r="B12" s="3" t="s">
        <v>291</v>
      </c>
      <c r="C12" s="3" t="s">
        <v>25</v>
      </c>
      <c r="D12" s="3" t="s">
        <v>26</v>
      </c>
      <c r="E12" s="13">
        <v>0.765212</v>
      </c>
      <c r="F12" s="13">
        <v>1.0563800000000001</v>
      </c>
      <c r="G12" s="13">
        <v>1.0115689999999999</v>
      </c>
      <c r="H12" s="13">
        <v>0.60588799999999998</v>
      </c>
      <c r="I12" s="13">
        <v>0.76559699999999997</v>
      </c>
      <c r="J12" s="13">
        <v>0.88609800000000005</v>
      </c>
      <c r="K12" s="13">
        <v>2.1301679999999998</v>
      </c>
      <c r="L12" s="13">
        <v>2.073394</v>
      </c>
      <c r="M12" s="13">
        <v>3.6205229999999999</v>
      </c>
      <c r="N12" s="13">
        <v>2.6515900000000001</v>
      </c>
      <c r="O12" s="13">
        <v>1.6350340000000001</v>
      </c>
      <c r="P12" s="13">
        <v>2.0020630000000001</v>
      </c>
      <c r="Q12" s="13">
        <v>1.312935</v>
      </c>
      <c r="R12" s="13">
        <v>1.516276</v>
      </c>
      <c r="S12" s="13">
        <v>1.6956599999999999</v>
      </c>
      <c r="T12" s="13">
        <v>2.0921150000000002</v>
      </c>
      <c r="U12" s="13">
        <v>1.9373640000000001</v>
      </c>
      <c r="V12" s="13">
        <v>1.5073160000000001</v>
      </c>
      <c r="W12" s="13">
        <v>1.5582149999999999</v>
      </c>
      <c r="X12" s="13">
        <v>1.784826</v>
      </c>
      <c r="Y12" s="13">
        <v>2.4062030000000001</v>
      </c>
      <c r="Z12" s="13">
        <v>1.4121710000000001</v>
      </c>
      <c r="AA12" s="13"/>
      <c r="AB12" s="13">
        <f t="shared" si="0"/>
        <v>1.6557544090909091</v>
      </c>
    </row>
    <row r="13" spans="1:28" ht="14.25" customHeight="1" x14ac:dyDescent="0.3">
      <c r="A13" s="3" t="s">
        <v>290</v>
      </c>
      <c r="B13" s="3" t="s">
        <v>291</v>
      </c>
      <c r="C13" s="3" t="s">
        <v>27</v>
      </c>
      <c r="D13" s="3" t="s">
        <v>28</v>
      </c>
      <c r="E13" s="13">
        <v>10.79401</v>
      </c>
      <c r="F13" s="13">
        <v>3.048505</v>
      </c>
      <c r="G13" s="13">
        <v>2.4860169999999999</v>
      </c>
      <c r="H13" s="13">
        <v>5.3647270000000002</v>
      </c>
      <c r="I13" s="13">
        <v>8.2092229999999997</v>
      </c>
      <c r="J13" s="13">
        <v>15.76365</v>
      </c>
      <c r="K13" s="13">
        <v>23.537289999999999</v>
      </c>
      <c r="L13" s="13">
        <v>15.32483</v>
      </c>
      <c r="M13" s="13">
        <v>12.47531</v>
      </c>
      <c r="N13" s="13">
        <v>9.8341790000000007</v>
      </c>
      <c r="O13" s="13">
        <v>6.2224760000000003</v>
      </c>
      <c r="P13" s="13">
        <v>5.0333589999999999</v>
      </c>
      <c r="Q13" s="13">
        <v>4.8948070000000001</v>
      </c>
      <c r="R13" s="13">
        <v>5.6497719999999996</v>
      </c>
      <c r="S13" s="13">
        <v>5.9120489999999997</v>
      </c>
      <c r="T13" s="13">
        <v>4.1472020000000001</v>
      </c>
      <c r="U13" s="13">
        <v>3.8928509999999998</v>
      </c>
      <c r="V13" s="13">
        <v>4.8781410000000003</v>
      </c>
      <c r="W13" s="13">
        <v>2.2017769999999999</v>
      </c>
      <c r="X13" s="13">
        <v>1.6397060000000001</v>
      </c>
      <c r="Y13" s="13">
        <v>1.73976</v>
      </c>
      <c r="Z13" s="13">
        <v>1.343161</v>
      </c>
      <c r="AA13" s="13"/>
      <c r="AB13" s="13">
        <f t="shared" si="0"/>
        <v>7.0178546363636363</v>
      </c>
    </row>
    <row r="14" spans="1:28" ht="14.25" customHeight="1" x14ac:dyDescent="0.3">
      <c r="A14" s="3" t="s">
        <v>290</v>
      </c>
      <c r="B14" s="3" t="s">
        <v>291</v>
      </c>
      <c r="C14" s="3" t="s">
        <v>29</v>
      </c>
      <c r="D14" s="3" t="s">
        <v>30</v>
      </c>
      <c r="E14" s="13">
        <v>0.87289600000000001</v>
      </c>
      <c r="F14" s="13">
        <v>4.0833000000000001E-2</v>
      </c>
      <c r="G14" s="13">
        <v>0.210062</v>
      </c>
      <c r="H14" s="13">
        <v>0.54841300000000004</v>
      </c>
      <c r="I14" s="13">
        <v>0.286194</v>
      </c>
      <c r="J14" s="13">
        <v>0.113202</v>
      </c>
      <c r="K14" s="13">
        <v>0.19622000000000001</v>
      </c>
      <c r="L14" s="13">
        <v>2.2812429999999999</v>
      </c>
      <c r="M14" s="13">
        <v>0.266291</v>
      </c>
      <c r="N14" s="13">
        <v>0.274534</v>
      </c>
      <c r="O14" s="13">
        <v>0.39216400000000001</v>
      </c>
      <c r="P14" s="13">
        <v>3.0947110000000002</v>
      </c>
      <c r="Q14" s="13">
        <v>2.4472589999999999</v>
      </c>
      <c r="R14" s="13">
        <v>1.8141700000000001</v>
      </c>
      <c r="S14" s="13">
        <v>1.2022079999999999</v>
      </c>
      <c r="T14" s="13">
        <v>0.88380000000000003</v>
      </c>
      <c r="U14" s="13">
        <v>0.62759100000000001</v>
      </c>
      <c r="V14" s="13">
        <v>1.6408370000000001</v>
      </c>
      <c r="W14" s="13">
        <v>0.83268600000000004</v>
      </c>
      <c r="X14" s="13">
        <v>0.468169</v>
      </c>
      <c r="Y14" s="13">
        <v>-5.3699999999999998E-3</v>
      </c>
      <c r="Z14" s="13">
        <v>0.38259399999999999</v>
      </c>
      <c r="AA14" s="13"/>
      <c r="AB14" s="13">
        <f t="shared" si="0"/>
        <v>0.8577594090909092</v>
      </c>
    </row>
    <row r="15" spans="1:28" ht="14.25" customHeight="1" x14ac:dyDescent="0.3">
      <c r="A15" s="3" t="s">
        <v>290</v>
      </c>
      <c r="B15" s="3" t="s">
        <v>291</v>
      </c>
      <c r="C15" s="3" t="s">
        <v>31</v>
      </c>
      <c r="D15" s="3" t="s">
        <v>32</v>
      </c>
      <c r="E15" s="13">
        <v>0.79907899999999998</v>
      </c>
      <c r="F15" s="13">
        <v>2.1978000000000001E-2</v>
      </c>
      <c r="G15" s="13">
        <v>6.9755289999999999</v>
      </c>
      <c r="H15" s="13">
        <v>14.241059999999999</v>
      </c>
      <c r="I15" s="13">
        <v>8.973516</v>
      </c>
      <c r="J15" s="13">
        <v>12.203849999999999</v>
      </c>
      <c r="K15" s="13">
        <v>12.144439999999999</v>
      </c>
      <c r="L15" s="13">
        <v>13.59783</v>
      </c>
      <c r="M15" s="13">
        <v>14.880520000000001</v>
      </c>
      <c r="N15" s="13">
        <v>13.569660000000001</v>
      </c>
      <c r="O15" s="13">
        <v>11.13279</v>
      </c>
      <c r="P15" s="13">
        <v>7.8569399999999998</v>
      </c>
      <c r="Q15" s="13">
        <v>7.0684719999999999</v>
      </c>
      <c r="R15" s="13">
        <v>5.6763680000000001</v>
      </c>
      <c r="S15" s="13">
        <v>5.9517550000000004</v>
      </c>
      <c r="T15" s="13">
        <v>4.3246919999999998</v>
      </c>
      <c r="U15" s="13">
        <v>5.0217400000000003</v>
      </c>
      <c r="V15" s="13">
        <v>4.7567789999999999</v>
      </c>
      <c r="W15" s="13">
        <v>4.8414029999999997</v>
      </c>
      <c r="X15" s="13">
        <v>3.6941320000000002</v>
      </c>
      <c r="Y15" s="13">
        <v>5.0671299999999997</v>
      </c>
      <c r="Z15" s="13">
        <v>2.5929009999999999</v>
      </c>
      <c r="AA15" s="13"/>
      <c r="AB15" s="13">
        <f t="shared" si="0"/>
        <v>7.5178438181818166</v>
      </c>
    </row>
    <row r="16" spans="1:28" ht="14.25" customHeight="1" x14ac:dyDescent="0.3">
      <c r="A16" s="3" t="s">
        <v>290</v>
      </c>
      <c r="B16" s="3" t="s">
        <v>291</v>
      </c>
      <c r="C16" s="3" t="s">
        <v>33</v>
      </c>
      <c r="D16" s="3" t="s">
        <v>34</v>
      </c>
      <c r="E16" s="13">
        <v>0.99158199999999996</v>
      </c>
      <c r="F16" s="13">
        <v>6.4441290000000002</v>
      </c>
      <c r="G16" s="13">
        <v>1.0203580000000001</v>
      </c>
      <c r="H16" s="13">
        <v>3.9856199999999999</v>
      </c>
      <c r="I16" s="13">
        <v>1.351186</v>
      </c>
      <c r="J16" s="13">
        <v>2.426355</v>
      </c>
      <c r="K16" s="13">
        <v>3.2428349999999999</v>
      </c>
      <c r="L16" s="13">
        <v>3.2499929999999999</v>
      </c>
      <c r="M16" s="13">
        <v>2.4221349999999999</v>
      </c>
      <c r="N16" s="13">
        <v>1.947827</v>
      </c>
      <c r="O16" s="13">
        <v>1.2299819999999999</v>
      </c>
      <c r="P16" s="13">
        <v>2.2904680000000002</v>
      </c>
      <c r="Q16" s="13">
        <v>2.6575869999999999</v>
      </c>
      <c r="R16" s="13">
        <v>2.9038629999999999</v>
      </c>
      <c r="S16" s="13">
        <v>2.9592540000000001</v>
      </c>
      <c r="T16" s="13">
        <v>2.9461110000000001</v>
      </c>
      <c r="U16" s="13">
        <v>1.930005</v>
      </c>
      <c r="V16" s="13">
        <v>2.2609219999999999</v>
      </c>
      <c r="W16" s="13">
        <v>2.783379</v>
      </c>
      <c r="X16" s="13">
        <v>1.3347979999999999</v>
      </c>
      <c r="Y16" s="13">
        <v>1.169073</v>
      </c>
      <c r="Z16" s="13">
        <v>1.5942229999999999</v>
      </c>
      <c r="AA16" s="13"/>
      <c r="AB16" s="13">
        <f t="shared" si="0"/>
        <v>2.4155311363636365</v>
      </c>
    </row>
    <row r="17" spans="1:28" ht="14.25" customHeight="1" x14ac:dyDescent="0.3">
      <c r="A17" s="3" t="s">
        <v>290</v>
      </c>
      <c r="B17" s="3" t="s">
        <v>291</v>
      </c>
      <c r="C17" s="3" t="s">
        <v>35</v>
      </c>
      <c r="D17" s="3" t="s">
        <v>36</v>
      </c>
      <c r="E17" s="13">
        <v>2.8611780000000002</v>
      </c>
      <c r="F17" s="13">
        <v>3.2156579999999999</v>
      </c>
      <c r="G17" s="13">
        <v>2.2207050000000002</v>
      </c>
      <c r="H17" s="13">
        <v>2.377758</v>
      </c>
      <c r="I17" s="13">
        <v>2.0001630000000001</v>
      </c>
      <c r="J17" s="13">
        <v>1.9596640000000001</v>
      </c>
      <c r="K17" s="13">
        <v>1.901821</v>
      </c>
      <c r="L17" s="13">
        <v>3.5175169999999998</v>
      </c>
      <c r="M17" s="13">
        <v>2.7112720000000001</v>
      </c>
      <c r="N17" s="13">
        <v>2.9235540000000002</v>
      </c>
      <c r="O17" s="13">
        <v>1.818972</v>
      </c>
      <c r="P17" s="13">
        <v>4.2012770000000002</v>
      </c>
      <c r="Q17" s="13">
        <v>2.2254010000000002</v>
      </c>
      <c r="R17" s="13">
        <v>3.740856</v>
      </c>
      <c r="S17" s="13">
        <v>3.3190439999999999</v>
      </c>
      <c r="T17" s="13">
        <v>6.8512409999999999</v>
      </c>
      <c r="U17" s="13">
        <v>5.178801</v>
      </c>
      <c r="V17" s="13">
        <v>7.2733559999999997</v>
      </c>
      <c r="W17" s="13">
        <v>2.6056319999999999</v>
      </c>
      <c r="X17" s="13">
        <v>2.3121119999999999</v>
      </c>
      <c r="Y17" s="3">
        <v>2.1102989999999999</v>
      </c>
      <c r="Z17" s="3">
        <v>1.234254</v>
      </c>
      <c r="AA17" s="3"/>
      <c r="AB17" s="13">
        <f t="shared" si="0"/>
        <v>3.1163879545454551</v>
      </c>
    </row>
    <row r="18" spans="1:28" ht="14.25" customHeight="1" x14ac:dyDescent="0.3">
      <c r="A18" s="3" t="s">
        <v>290</v>
      </c>
      <c r="B18" s="3" t="s">
        <v>291</v>
      </c>
      <c r="C18" s="3" t="s">
        <v>37</v>
      </c>
      <c r="D18" s="3" t="s">
        <v>38</v>
      </c>
      <c r="E18" s="13">
        <v>5.2156859999999998</v>
      </c>
      <c r="F18" s="13">
        <v>2.8065579999999999</v>
      </c>
      <c r="G18" s="13">
        <v>3.903343</v>
      </c>
      <c r="H18" s="13">
        <v>3.7822499999999999</v>
      </c>
      <c r="I18" s="13">
        <v>4.3156030000000003</v>
      </c>
      <c r="J18" s="13">
        <v>3.8140740000000002</v>
      </c>
      <c r="K18" s="13">
        <v>4.2402899999999999</v>
      </c>
      <c r="L18" s="13">
        <v>5.1418350000000004</v>
      </c>
      <c r="M18" s="13">
        <v>7.3826510000000001</v>
      </c>
      <c r="N18" s="13">
        <v>5.2285380000000004</v>
      </c>
      <c r="O18" s="13">
        <v>5.5933770000000003</v>
      </c>
      <c r="P18" s="13">
        <v>9.5791830000000004</v>
      </c>
      <c r="Q18" s="13">
        <v>7.3651859999999996</v>
      </c>
      <c r="R18" s="13">
        <v>8.7872529999999998</v>
      </c>
      <c r="S18" s="13">
        <v>9.0636419999999998</v>
      </c>
      <c r="T18" s="13">
        <v>7.5803390000000004</v>
      </c>
      <c r="U18" s="13">
        <v>7.4446219999999999</v>
      </c>
      <c r="V18" s="13">
        <v>7.5105589999999998</v>
      </c>
      <c r="W18" s="13">
        <v>6.4305940000000001</v>
      </c>
      <c r="X18" s="13">
        <v>3.9609329999999998</v>
      </c>
      <c r="Y18" s="13">
        <v>5.886495</v>
      </c>
      <c r="Z18" s="13">
        <v>8.6262360000000005</v>
      </c>
      <c r="AA18" s="13"/>
      <c r="AB18" s="13">
        <f t="shared" si="0"/>
        <v>6.0754203181818163</v>
      </c>
    </row>
    <row r="19" spans="1:28" ht="14.25" customHeight="1" x14ac:dyDescent="0.3">
      <c r="A19" s="3" t="s">
        <v>290</v>
      </c>
      <c r="B19" s="3" t="s">
        <v>291</v>
      </c>
      <c r="C19" s="3" t="s">
        <v>39</v>
      </c>
      <c r="D19" s="3" t="s">
        <v>40</v>
      </c>
      <c r="E19" s="13">
        <v>1.6483209999999999</v>
      </c>
      <c r="F19" s="13">
        <v>1.6186160000000001</v>
      </c>
      <c r="G19" s="13">
        <v>1.971584</v>
      </c>
      <c r="H19" s="13">
        <v>1.9146209999999999</v>
      </c>
      <c r="I19" s="13">
        <v>1.380374</v>
      </c>
      <c r="J19" s="13">
        <v>2.8362940000000001</v>
      </c>
      <c r="K19" s="13">
        <v>2.0357530000000001</v>
      </c>
      <c r="L19" s="13">
        <v>2.1691950000000002</v>
      </c>
      <c r="M19" s="13">
        <v>2.4137390000000001</v>
      </c>
      <c r="N19" s="13">
        <v>2.9002490000000001</v>
      </c>
      <c r="O19" s="13">
        <v>1.642074</v>
      </c>
      <c r="P19" s="13">
        <v>2.1331180000000001</v>
      </c>
      <c r="Q19" s="13">
        <v>1.523782</v>
      </c>
      <c r="R19" s="13">
        <v>1.069539</v>
      </c>
      <c r="S19" s="13">
        <v>0.81747800000000004</v>
      </c>
      <c r="T19" s="13">
        <v>0.621502</v>
      </c>
      <c r="U19" s="13">
        <v>0.85339600000000004</v>
      </c>
      <c r="V19" s="13">
        <v>0.64218299999999995</v>
      </c>
      <c r="W19" s="13">
        <v>0.18382100000000001</v>
      </c>
      <c r="X19" s="13">
        <v>0.48577799999999999</v>
      </c>
      <c r="Y19" s="13">
        <v>0.551894</v>
      </c>
      <c r="Z19" s="13">
        <v>0.75157799999999997</v>
      </c>
      <c r="AA19" s="13"/>
      <c r="AB19" s="13">
        <f t="shared" si="0"/>
        <v>1.4620404090909092</v>
      </c>
    </row>
    <row r="20" spans="1:28" ht="14.25" customHeight="1" x14ac:dyDescent="0.3">
      <c r="A20" s="3" t="s">
        <v>290</v>
      </c>
      <c r="B20" s="3" t="s">
        <v>291</v>
      </c>
      <c r="C20" s="3" t="s">
        <v>41</v>
      </c>
      <c r="D20" s="3" t="s">
        <v>42</v>
      </c>
      <c r="E20" s="13">
        <v>0.30959500000000001</v>
      </c>
      <c r="F20" s="13">
        <v>0.38910699999999998</v>
      </c>
      <c r="G20" s="13">
        <v>0.84351699999999996</v>
      </c>
      <c r="H20" s="13">
        <v>0.47520800000000002</v>
      </c>
      <c r="I20" s="13">
        <v>0.84558599999999995</v>
      </c>
      <c r="J20" s="13">
        <v>1.5157510000000001</v>
      </c>
      <c r="K20" s="13">
        <v>2.6397499999999998</v>
      </c>
      <c r="L20" s="13">
        <v>3.0357189999999998</v>
      </c>
      <c r="M20" s="13">
        <v>2.6893669999999998</v>
      </c>
      <c r="N20" s="13">
        <v>1.248013</v>
      </c>
      <c r="O20" s="13">
        <v>1.027911</v>
      </c>
      <c r="P20" s="13">
        <v>0.57505499999999998</v>
      </c>
      <c r="Q20" s="13">
        <v>0.34345300000000001</v>
      </c>
      <c r="R20" s="13">
        <v>0.51535399999999998</v>
      </c>
      <c r="S20" s="13">
        <v>0.69530800000000004</v>
      </c>
      <c r="T20" s="13">
        <v>0.55773399999999995</v>
      </c>
      <c r="U20" s="13">
        <v>0.82135000000000002</v>
      </c>
      <c r="V20" s="13">
        <v>0.73583699999999996</v>
      </c>
      <c r="W20" s="13">
        <v>0.48774600000000001</v>
      </c>
      <c r="X20" s="13">
        <v>0.69614600000000004</v>
      </c>
      <c r="Y20" s="13">
        <v>0.68469500000000005</v>
      </c>
      <c r="Z20" s="13">
        <v>0.616039</v>
      </c>
      <c r="AA20" s="13"/>
      <c r="AB20" s="13">
        <f t="shared" si="0"/>
        <v>0.98855640909090925</v>
      </c>
    </row>
    <row r="21" spans="1:28" ht="14.25" customHeight="1" x14ac:dyDescent="0.3">
      <c r="A21" s="3" t="s">
        <v>290</v>
      </c>
      <c r="B21" s="3" t="s">
        <v>291</v>
      </c>
      <c r="C21" s="3" t="s">
        <v>43</v>
      </c>
      <c r="D21" s="3" t="s">
        <v>44</v>
      </c>
      <c r="E21" s="13">
        <v>2.7403029999999999</v>
      </c>
      <c r="F21" s="13">
        <v>2.0507249999999999</v>
      </c>
      <c r="G21" s="13">
        <v>0.67212400000000005</v>
      </c>
      <c r="H21" s="13">
        <v>4.7676679999999996</v>
      </c>
      <c r="I21" s="13">
        <v>0.82866499999999998</v>
      </c>
      <c r="J21" s="13">
        <v>0.82156300000000004</v>
      </c>
      <c r="K21" s="13">
        <v>1.5385949999999999</v>
      </c>
      <c r="L21" s="13">
        <v>1.368617</v>
      </c>
      <c r="M21" s="13">
        <v>0.41006999999999999</v>
      </c>
      <c r="N21" s="13">
        <v>3.6149610000000001</v>
      </c>
      <c r="O21" s="13">
        <v>0.24975</v>
      </c>
      <c r="P21" s="13">
        <v>0.20249700000000001</v>
      </c>
      <c r="Q21" s="13">
        <v>0.13522600000000001</v>
      </c>
      <c r="R21" s="13">
        <v>0.12606899999999999</v>
      </c>
      <c r="S21" s="13">
        <v>0.12682399999999999</v>
      </c>
      <c r="T21" s="13">
        <v>0.13822799999999999</v>
      </c>
      <c r="U21" s="13">
        <v>-0.18842</v>
      </c>
      <c r="V21" s="13">
        <v>-0.78824000000000005</v>
      </c>
      <c r="W21" s="13">
        <v>1.271855</v>
      </c>
      <c r="X21" s="13">
        <v>1.3558129999999999</v>
      </c>
      <c r="Y21" s="13">
        <v>0.47379399999999999</v>
      </c>
      <c r="Z21" s="13">
        <v>-0.13181999999999999</v>
      </c>
      <c r="AA21" s="13"/>
      <c r="AB21" s="13">
        <f t="shared" si="0"/>
        <v>0.99022122727272721</v>
      </c>
    </row>
    <row r="22" spans="1:28" ht="14.25" customHeight="1" x14ac:dyDescent="0.3">
      <c r="A22" s="3" t="s">
        <v>290</v>
      </c>
      <c r="B22" s="3" t="s">
        <v>291</v>
      </c>
      <c r="C22" s="3" t="s">
        <v>45</v>
      </c>
      <c r="D22" s="3" t="s">
        <v>46</v>
      </c>
      <c r="E22" s="13">
        <v>1.7772250000000001</v>
      </c>
      <c r="F22" s="13">
        <v>0.96298499999999998</v>
      </c>
      <c r="G22" s="13">
        <v>2.0982750000000001</v>
      </c>
      <c r="H22" s="13">
        <v>0.56526299999999996</v>
      </c>
      <c r="I22" s="13">
        <v>0.62314499999999995</v>
      </c>
      <c r="J22" s="13">
        <v>1.5490600000000001</v>
      </c>
      <c r="K22" s="13">
        <v>2.1209190000000002</v>
      </c>
      <c r="L22" s="13">
        <v>1.8712120000000001</v>
      </c>
      <c r="M22" s="13">
        <v>0.73780100000000004</v>
      </c>
      <c r="N22" s="13">
        <v>1.1732480000000001</v>
      </c>
      <c r="O22" s="13">
        <v>0.51369799999999999</v>
      </c>
      <c r="P22" s="13">
        <v>0.85696300000000003</v>
      </c>
      <c r="Q22" s="13">
        <v>1.22763</v>
      </c>
      <c r="R22" s="13">
        <v>1.3164260000000001</v>
      </c>
      <c r="S22" s="13">
        <v>1.9293750000000001</v>
      </c>
      <c r="T22" s="13">
        <v>1.8401799999999999</v>
      </c>
      <c r="U22" s="13">
        <v>2.5985079999999998</v>
      </c>
      <c r="V22" s="13">
        <v>3.1223879999999999</v>
      </c>
      <c r="W22" s="13">
        <v>2.8683380000000001</v>
      </c>
      <c r="X22" s="13">
        <v>2.3011750000000002</v>
      </c>
      <c r="Y22" s="13">
        <v>1.885864</v>
      </c>
      <c r="Z22" s="13">
        <v>3.0407890000000002</v>
      </c>
      <c r="AA22" s="13"/>
      <c r="AB22" s="13">
        <f t="shared" si="0"/>
        <v>1.6809303181818185</v>
      </c>
    </row>
    <row r="23" spans="1:28" ht="14.25" customHeight="1" x14ac:dyDescent="0.3">
      <c r="A23" s="3" t="s">
        <v>290</v>
      </c>
      <c r="B23" s="3" t="s">
        <v>291</v>
      </c>
      <c r="C23" s="3" t="s">
        <v>47</v>
      </c>
      <c r="D23" s="3" t="s">
        <v>48</v>
      </c>
      <c r="E23" s="13">
        <v>1.357745</v>
      </c>
      <c r="F23" s="13">
        <v>0.69275699999999996</v>
      </c>
      <c r="G23" s="13">
        <v>1.1802440000000001</v>
      </c>
      <c r="H23" s="13">
        <v>0.98645799999999995</v>
      </c>
      <c r="I23" s="13">
        <v>1.3653470000000001</v>
      </c>
      <c r="J23" s="13">
        <v>1.5255129999999999</v>
      </c>
      <c r="K23" s="13">
        <v>2.4777079999999998</v>
      </c>
      <c r="L23" s="13">
        <v>2.5114570000000001</v>
      </c>
      <c r="M23" s="13">
        <v>2.7040470000000001</v>
      </c>
      <c r="N23" s="13">
        <v>2.0529950000000001</v>
      </c>
      <c r="O23" s="13">
        <v>1.687783</v>
      </c>
      <c r="P23" s="13">
        <v>1.90107</v>
      </c>
      <c r="Q23" s="13">
        <v>1.56368</v>
      </c>
      <c r="R23" s="13">
        <v>1.645818</v>
      </c>
      <c r="S23" s="13">
        <v>2.0361310000000001</v>
      </c>
      <c r="T23" s="13">
        <v>2.301949</v>
      </c>
      <c r="U23" s="13">
        <v>2.4811030000000001</v>
      </c>
      <c r="V23" s="13">
        <v>2.8018540000000001</v>
      </c>
      <c r="W23" s="13">
        <v>3.6676579999999999</v>
      </c>
      <c r="X23" s="13">
        <v>4.5524760000000004</v>
      </c>
      <c r="Y23" s="13">
        <v>7.5239570000000002</v>
      </c>
      <c r="Z23" s="13">
        <v>9.4042619999999992</v>
      </c>
      <c r="AA23" s="13"/>
      <c r="AB23" s="13">
        <f t="shared" si="0"/>
        <v>2.6555460000000006</v>
      </c>
    </row>
    <row r="24" spans="1:28" ht="14.25" customHeight="1" x14ac:dyDescent="0.3">
      <c r="A24" s="3" t="s">
        <v>290</v>
      </c>
      <c r="B24" s="3" t="s">
        <v>291</v>
      </c>
      <c r="C24" s="3" t="s">
        <v>49</v>
      </c>
      <c r="D24" s="3" t="s">
        <v>50</v>
      </c>
      <c r="E24" s="13">
        <v>1.058988</v>
      </c>
      <c r="F24" s="13">
        <v>1.0907469999999999</v>
      </c>
      <c r="G24" s="13">
        <v>1.1882779999999999</v>
      </c>
      <c r="H24" s="13">
        <v>1.211327</v>
      </c>
      <c r="I24" s="13">
        <v>1.1266769999999999</v>
      </c>
      <c r="J24" s="13">
        <v>1.1161289999999999</v>
      </c>
      <c r="K24" s="13">
        <v>1.696264</v>
      </c>
      <c r="L24" s="13">
        <v>1.863974</v>
      </c>
      <c r="M24" s="13">
        <v>1.8475299999999999</v>
      </c>
      <c r="N24" s="13">
        <v>0.96038999999999997</v>
      </c>
      <c r="O24" s="13">
        <v>0.81444499999999997</v>
      </c>
      <c r="P24" s="13">
        <v>1.410884</v>
      </c>
      <c r="Q24" s="13">
        <v>1.335917</v>
      </c>
      <c r="R24" s="13">
        <v>1.2110970000000001</v>
      </c>
      <c r="S24" s="13">
        <v>1.0828120000000001</v>
      </c>
      <c r="T24" s="13">
        <v>0.79827099999999995</v>
      </c>
      <c r="U24" s="13">
        <v>1.0192319999999999</v>
      </c>
      <c r="V24" s="13">
        <v>1.4545220000000001</v>
      </c>
      <c r="W24" s="13">
        <v>1.708094</v>
      </c>
      <c r="X24" s="13">
        <v>0.83521500000000004</v>
      </c>
      <c r="Y24" s="13">
        <v>0.51489099999999999</v>
      </c>
      <c r="Z24" s="13">
        <v>0.66842800000000002</v>
      </c>
      <c r="AA24" s="13"/>
      <c r="AB24" s="13">
        <f t="shared" si="0"/>
        <v>1.1824596363636362</v>
      </c>
    </row>
    <row r="25" spans="1:28" ht="14.25" customHeight="1" x14ac:dyDescent="0.3">
      <c r="A25" s="3" t="s">
        <v>290</v>
      </c>
      <c r="B25" s="3" t="s">
        <v>291</v>
      </c>
      <c r="C25" s="3" t="s">
        <v>103</v>
      </c>
      <c r="D25" s="3" t="s">
        <v>52</v>
      </c>
      <c r="E25" s="13">
        <v>3.4655170000000002</v>
      </c>
      <c r="F25" s="13">
        <v>4.0494750000000002</v>
      </c>
      <c r="G25" s="13">
        <v>2.799553</v>
      </c>
      <c r="H25" s="13">
        <v>2.0931630000000001</v>
      </c>
      <c r="I25" s="13">
        <v>2.6542189999999999</v>
      </c>
      <c r="J25" s="13">
        <v>5.0856269999999997</v>
      </c>
      <c r="K25" s="13">
        <v>2.1645650000000001</v>
      </c>
      <c r="L25" s="13">
        <v>2.6601110000000001</v>
      </c>
      <c r="M25" s="13">
        <v>4.9494379999999998</v>
      </c>
      <c r="N25" s="13">
        <v>3.2401749999999998</v>
      </c>
      <c r="O25" s="13">
        <v>5.6639679999999997</v>
      </c>
      <c r="P25" s="13">
        <v>3.5472079999999999</v>
      </c>
      <c r="Q25" s="13">
        <v>4.5387849999999998</v>
      </c>
      <c r="R25" s="13">
        <v>4.5724280000000004</v>
      </c>
      <c r="S25" s="13">
        <v>2.8329279999999999</v>
      </c>
      <c r="T25" s="13">
        <v>3.1763349999999999</v>
      </c>
      <c r="U25" s="13">
        <v>1.7359119999999999</v>
      </c>
      <c r="V25" s="13">
        <v>1.760116</v>
      </c>
      <c r="W25" s="13">
        <v>1.70441</v>
      </c>
      <c r="X25" s="13">
        <v>1.994594</v>
      </c>
      <c r="Y25" s="13">
        <v>1.4284600000000001</v>
      </c>
      <c r="Z25" s="13">
        <v>1.6849430000000001</v>
      </c>
      <c r="AA25" s="13"/>
      <c r="AB25" s="13">
        <f t="shared" si="0"/>
        <v>3.0819059090909091</v>
      </c>
    </row>
    <row r="26" spans="1:28" ht="14.25" customHeight="1" x14ac:dyDescent="0.3">
      <c r="A26" s="3" t="s">
        <v>290</v>
      </c>
      <c r="B26" s="3" t="s">
        <v>291</v>
      </c>
      <c r="C26" s="3" t="s">
        <v>53</v>
      </c>
      <c r="D26" s="3" t="s">
        <v>54</v>
      </c>
      <c r="E26" s="13">
        <v>3.4960270000000002</v>
      </c>
      <c r="F26" s="13">
        <v>2.046217</v>
      </c>
      <c r="G26" s="13">
        <v>3.4150719999999999</v>
      </c>
      <c r="H26" s="13">
        <v>1.9650460000000001</v>
      </c>
      <c r="I26" s="13">
        <v>1.898889</v>
      </c>
      <c r="J26" s="13">
        <v>2.2084489999999999</v>
      </c>
      <c r="K26" s="13">
        <v>9.4247340000000008</v>
      </c>
      <c r="L26" s="13">
        <v>3.8939520000000001</v>
      </c>
      <c r="M26" s="13">
        <v>5.7973860000000004</v>
      </c>
      <c r="N26" s="13">
        <v>3.509881</v>
      </c>
      <c r="O26" s="13">
        <v>2.8881420000000002</v>
      </c>
      <c r="P26" s="13">
        <v>0.89907800000000004</v>
      </c>
      <c r="Q26" s="13">
        <v>3.2851889999999999</v>
      </c>
      <c r="R26" s="13">
        <v>2.1744129999999999</v>
      </c>
      <c r="S26" s="13">
        <v>2.038427</v>
      </c>
      <c r="T26" s="13">
        <v>2.119993</v>
      </c>
      <c r="U26" s="13">
        <v>1.403446</v>
      </c>
      <c r="V26" s="13">
        <v>1.9233130000000001</v>
      </c>
      <c r="W26" s="13">
        <v>2.3224800000000001</v>
      </c>
      <c r="X26" s="13">
        <v>1.944876</v>
      </c>
      <c r="Y26" s="13">
        <v>1.466343</v>
      </c>
      <c r="Z26" s="13">
        <v>1.1693750000000001</v>
      </c>
      <c r="AA26" s="13"/>
      <c r="AB26" s="13">
        <f t="shared" si="0"/>
        <v>2.7859421818181827</v>
      </c>
    </row>
    <row r="27" spans="1:28" ht="14.25" customHeight="1" x14ac:dyDescent="0.3">
      <c r="A27" s="3" t="s">
        <v>290</v>
      </c>
      <c r="B27" s="3" t="s">
        <v>291</v>
      </c>
      <c r="C27" s="3" t="s">
        <v>283</v>
      </c>
      <c r="D27" s="3" t="s">
        <v>56</v>
      </c>
      <c r="E27" s="13">
        <v>4.1639239999999997</v>
      </c>
      <c r="F27" s="13">
        <v>3.9773350000000001</v>
      </c>
      <c r="G27" s="13">
        <v>3.9926870000000001</v>
      </c>
      <c r="H27" s="13">
        <v>3.6660119999999998</v>
      </c>
      <c r="I27" s="13">
        <v>3.5440809999999998</v>
      </c>
      <c r="J27" s="13">
        <v>3.3904040000000002</v>
      </c>
      <c r="K27" s="13">
        <v>3.6160009999999998</v>
      </c>
      <c r="L27" s="13">
        <v>8.6547180000000008</v>
      </c>
      <c r="M27" s="13">
        <v>9.6630389999999995</v>
      </c>
      <c r="N27" s="13">
        <v>7.1688200000000002</v>
      </c>
      <c r="O27" s="13">
        <v>5.4347390000000004</v>
      </c>
      <c r="P27" s="13">
        <v>4.3048739999999999</v>
      </c>
      <c r="Q27" s="13">
        <v>4.2783230000000003</v>
      </c>
      <c r="R27" s="13">
        <v>4.1645450000000004</v>
      </c>
      <c r="S27" s="13">
        <v>3.9408620000000001</v>
      </c>
      <c r="T27" s="13">
        <v>4.931908</v>
      </c>
      <c r="U27" s="13">
        <v>4.9008929999999999</v>
      </c>
      <c r="V27" s="13">
        <v>5.0114869999999998</v>
      </c>
      <c r="W27" s="13">
        <v>4.9982829999999998</v>
      </c>
      <c r="X27" s="13">
        <v>4.8210750000000004</v>
      </c>
      <c r="Y27" s="13">
        <v>4.5583619999999998</v>
      </c>
      <c r="Z27" s="13">
        <v>4.2731459999999997</v>
      </c>
      <c r="AA27" s="13"/>
      <c r="AB27" s="13">
        <f t="shared" si="0"/>
        <v>4.8843417272727274</v>
      </c>
    </row>
    <row r="28" spans="1:28" ht="14.25" customHeight="1" x14ac:dyDescent="0.3">
      <c r="A28" s="3" t="s">
        <v>290</v>
      </c>
      <c r="B28" s="3" t="s">
        <v>291</v>
      </c>
      <c r="C28" s="3" t="s">
        <v>57</v>
      </c>
      <c r="D28" s="3" t="s">
        <v>58</v>
      </c>
      <c r="E28" s="13">
        <v>3.3799619999999999</v>
      </c>
      <c r="F28" s="13">
        <v>3.5413869999999998</v>
      </c>
      <c r="G28" s="13">
        <v>7.114941</v>
      </c>
      <c r="H28" s="13">
        <v>7.0789309999999999</v>
      </c>
      <c r="I28" s="13">
        <v>5.8516890000000004</v>
      </c>
      <c r="J28" s="13">
        <v>4.2840319999999998</v>
      </c>
      <c r="K28" s="13">
        <v>4.8271290000000002</v>
      </c>
      <c r="L28" s="13">
        <v>9.4181120000000007</v>
      </c>
      <c r="M28" s="13">
        <v>5.2405080000000002</v>
      </c>
      <c r="N28" s="13">
        <v>4.5327799999999998</v>
      </c>
      <c r="O28" s="13">
        <v>8.5331960000000002</v>
      </c>
      <c r="P28" s="13">
        <v>4.7251620000000001</v>
      </c>
      <c r="Q28" s="13">
        <v>6.7893809999999997</v>
      </c>
      <c r="R28" s="13">
        <v>7.489325</v>
      </c>
      <c r="S28" s="13">
        <v>5.555428</v>
      </c>
      <c r="T28" s="13">
        <v>7.4474169999999997</v>
      </c>
      <c r="U28" s="13">
        <v>3.1625200000000002</v>
      </c>
      <c r="V28" s="13">
        <v>4.2805010000000001</v>
      </c>
      <c r="W28" s="13">
        <v>1.552319</v>
      </c>
      <c r="X28" s="13">
        <v>2.3509190000000002</v>
      </c>
      <c r="Y28" s="13">
        <v>1.3519060000000001</v>
      </c>
      <c r="Z28" s="13">
        <v>1.7840780000000001</v>
      </c>
      <c r="AA28" s="13"/>
      <c r="AB28" s="13">
        <f t="shared" si="0"/>
        <v>5.0132555909090906</v>
      </c>
    </row>
    <row r="29" spans="1:28" ht="14.2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4.2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ht="14.2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ht="14.25" customHeight="1" x14ac:dyDescent="0.3">
      <c r="A32" s="29" t="s">
        <v>284</v>
      </c>
      <c r="B32" s="27"/>
      <c r="C32" s="27"/>
      <c r="D32" s="27"/>
      <c r="E32" s="27"/>
      <c r="F32" s="3"/>
      <c r="G32" s="3"/>
      <c r="H32" s="3"/>
      <c r="I32" s="3"/>
      <c r="J32" s="3"/>
      <c r="K32" s="3"/>
      <c r="L32" s="3"/>
      <c r="M32" s="3"/>
      <c r="N32" s="3"/>
      <c r="O32" s="3"/>
      <c r="P32" s="3"/>
      <c r="Q32" s="3"/>
      <c r="R32" s="3"/>
      <c r="S32" s="3"/>
      <c r="T32" s="3"/>
      <c r="U32" s="3"/>
      <c r="V32" s="3"/>
      <c r="W32" s="3"/>
      <c r="X32" s="3"/>
      <c r="Y32" s="3"/>
      <c r="Z32" s="3"/>
      <c r="AA32" s="3"/>
      <c r="AB32" s="3"/>
    </row>
    <row r="33" spans="1:28" ht="14.25" customHeight="1" x14ac:dyDescent="0.3">
      <c r="A33" s="29" t="s">
        <v>285</v>
      </c>
      <c r="B33" s="27"/>
      <c r="C33" s="27"/>
      <c r="D33" s="3"/>
      <c r="E33" s="3"/>
      <c r="F33" s="3"/>
      <c r="G33" s="3"/>
      <c r="H33" s="3"/>
      <c r="I33" s="3"/>
      <c r="J33" s="3"/>
      <c r="K33" s="3"/>
      <c r="L33" s="3"/>
      <c r="M33" s="3"/>
      <c r="N33" s="3"/>
      <c r="O33" s="3"/>
      <c r="P33" s="3"/>
      <c r="Q33" s="3"/>
      <c r="R33" s="3"/>
      <c r="S33" s="3"/>
      <c r="T33" s="3"/>
      <c r="U33" s="3"/>
      <c r="V33" s="3"/>
      <c r="W33" s="3"/>
      <c r="X33" s="3"/>
      <c r="Y33" s="3"/>
      <c r="Z33" s="3"/>
      <c r="AA33" s="3"/>
      <c r="AB33" s="3"/>
    </row>
    <row r="34" spans="1:28" ht="14.25" customHeight="1" x14ac:dyDescent="0.3">
      <c r="A34" s="3" t="s">
        <v>292</v>
      </c>
      <c r="B34" s="3" t="s">
        <v>293</v>
      </c>
      <c r="C34" s="3" t="s">
        <v>294</v>
      </c>
      <c r="D34" s="3" t="s">
        <v>295</v>
      </c>
      <c r="E34" s="3" t="s">
        <v>296</v>
      </c>
      <c r="F34" s="3" t="s">
        <v>297</v>
      </c>
      <c r="G34" s="3" t="s">
        <v>298</v>
      </c>
      <c r="H34" s="3" t="s">
        <v>299</v>
      </c>
      <c r="I34" s="3" t="s">
        <v>300</v>
      </c>
      <c r="J34" s="3" t="s">
        <v>301</v>
      </c>
      <c r="K34" s="3" t="s">
        <v>302</v>
      </c>
      <c r="L34" s="3" t="s">
        <v>303</v>
      </c>
      <c r="M34" s="3" t="s">
        <v>304</v>
      </c>
      <c r="N34" s="3"/>
      <c r="O34" s="3"/>
      <c r="P34" s="3"/>
      <c r="Q34" s="3"/>
      <c r="R34" s="3"/>
      <c r="S34" s="3"/>
      <c r="T34" s="3"/>
      <c r="U34" s="3"/>
      <c r="V34" s="3"/>
      <c r="W34" s="3"/>
      <c r="X34" s="3"/>
      <c r="Y34" s="3"/>
      <c r="Z34" s="3"/>
      <c r="AA34" s="3"/>
      <c r="AB34" s="3"/>
    </row>
    <row r="35" spans="1:28" ht="14.25" customHeight="1" x14ac:dyDescent="0.3">
      <c r="A35" s="3" t="s">
        <v>291</v>
      </c>
      <c r="B35" s="3" t="s">
        <v>305</v>
      </c>
      <c r="C35" s="3" t="s">
        <v>290</v>
      </c>
      <c r="D35" s="3" t="s">
        <v>306</v>
      </c>
      <c r="E35" s="3" t="s">
        <v>307</v>
      </c>
      <c r="F35" s="3" t="s">
        <v>308</v>
      </c>
      <c r="G35" s="3" t="s">
        <v>309</v>
      </c>
      <c r="H35" s="3" t="s">
        <v>310</v>
      </c>
      <c r="I35" s="3" t="s">
        <v>311</v>
      </c>
      <c r="J35" s="3" t="s">
        <v>312</v>
      </c>
      <c r="K35" s="3" t="s">
        <v>313</v>
      </c>
      <c r="L35" s="3" t="s">
        <v>314</v>
      </c>
      <c r="M35" s="21" t="s">
        <v>315</v>
      </c>
    </row>
    <row r="36" spans="1:28" ht="14.25" customHeight="1" x14ac:dyDescent="0.3"/>
    <row r="37" spans="1:28" ht="14.25" customHeight="1" x14ac:dyDescent="0.3"/>
    <row r="38" spans="1:28" ht="14.25" customHeight="1" x14ac:dyDescent="0.3"/>
    <row r="39" spans="1:28" ht="14.25" customHeight="1" x14ac:dyDescent="0.3"/>
    <row r="40" spans="1:28" ht="14.25" customHeight="1" x14ac:dyDescent="0.3"/>
    <row r="41" spans="1:28" ht="14.25" customHeight="1" x14ac:dyDescent="0.3"/>
    <row r="42" spans="1:28" ht="14.25" customHeight="1" x14ac:dyDescent="0.3"/>
    <row r="43" spans="1:28" ht="14.25" customHeight="1" x14ac:dyDescent="0.3"/>
    <row r="44" spans="1:28" ht="14.25" customHeight="1" x14ac:dyDescent="0.3"/>
    <row r="45" spans="1:28" ht="14.25" customHeight="1" x14ac:dyDescent="0.3"/>
    <row r="46" spans="1:28" ht="14.25" customHeight="1" x14ac:dyDescent="0.3"/>
    <row r="47" spans="1:28" ht="14.25" customHeight="1" x14ac:dyDescent="0.3"/>
    <row r="48" spans="1:2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mergeCells count="2">
    <mergeCell ref="A32:E32"/>
    <mergeCell ref="A33:C33"/>
  </mergeCells>
  <hyperlinks>
    <hyperlink ref="M35" r:id="rId1" location="cc-by"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995"/>
  <sheetViews>
    <sheetView workbookViewId="0"/>
  </sheetViews>
  <sheetFormatPr defaultColWidth="14.44140625" defaultRowHeight="15" customHeight="1" x14ac:dyDescent="0.3"/>
  <cols>
    <col min="1" max="1" width="8.6640625" customWidth="1"/>
    <col min="2" max="2" width="34.5546875" customWidth="1"/>
    <col min="3" max="3" width="10.44140625" customWidth="1"/>
    <col min="4" max="4" width="8.6640625" customWidth="1"/>
    <col min="5" max="5" width="10.6640625" customWidth="1"/>
    <col min="6" max="6" width="11.5546875" customWidth="1"/>
    <col min="7" max="7" width="11.6640625" customWidth="1"/>
    <col min="8" max="8" width="10" customWidth="1"/>
    <col min="9" max="9" width="8.6640625" customWidth="1"/>
    <col min="10" max="10" width="11.5546875" customWidth="1"/>
    <col min="11" max="26" width="8.6640625" customWidth="1"/>
  </cols>
  <sheetData>
    <row r="1" spans="1:11" ht="14.25" customHeight="1" x14ac:dyDescent="0.3">
      <c r="A1" s="5" t="s">
        <v>316</v>
      </c>
    </row>
    <row r="2" spans="1:11" ht="14.25" customHeight="1" x14ac:dyDescent="0.3">
      <c r="A2" s="22" t="s">
        <v>317</v>
      </c>
      <c r="B2" s="22" t="s">
        <v>318</v>
      </c>
      <c r="C2" s="22" t="s">
        <v>319</v>
      </c>
      <c r="D2" s="22" t="s">
        <v>320</v>
      </c>
      <c r="E2" s="22" t="s">
        <v>321</v>
      </c>
      <c r="F2" s="22" t="s">
        <v>322</v>
      </c>
      <c r="G2" s="22" t="s">
        <v>323</v>
      </c>
      <c r="H2" s="22" t="s">
        <v>324</v>
      </c>
      <c r="I2" s="22" t="s">
        <v>325</v>
      </c>
      <c r="J2" s="22" t="s">
        <v>326</v>
      </c>
    </row>
    <row r="3" spans="1:11" ht="14.25" customHeight="1" x14ac:dyDescent="0.3">
      <c r="A3" s="22" t="s">
        <v>327</v>
      </c>
      <c r="B3" s="22" t="s">
        <v>328</v>
      </c>
      <c r="C3" s="22">
        <f>AVERAGE(REN!B2:W28)</f>
        <v>49.099831649831685</v>
      </c>
      <c r="D3" s="22">
        <f>MEDIAN(REN!B2:W28)</f>
        <v>51.150000000000006</v>
      </c>
      <c r="E3" s="22">
        <f>MAX(REN!B2:W28)</f>
        <v>93.6</v>
      </c>
      <c r="F3" s="22">
        <f>MIN(REN!B2:W28)</f>
        <v>1.7</v>
      </c>
      <c r="G3" s="22">
        <f>_xlfn.STDEV.S(REN!B2:W28)</f>
        <v>26.387077487266172</v>
      </c>
      <c r="H3" s="22">
        <f>SKEW(REN!B2:W28)</f>
        <v>-0.23246822015541724</v>
      </c>
      <c r="I3" s="22">
        <f>KURT(REN!B2:W28)</f>
        <v>-1.0652707338518805</v>
      </c>
      <c r="J3" s="22" t="s">
        <v>329</v>
      </c>
    </row>
    <row r="4" spans="1:11" ht="14.25" customHeight="1" x14ac:dyDescent="0.3">
      <c r="A4" s="22" t="s">
        <v>330</v>
      </c>
      <c r="B4" s="22" t="s">
        <v>331</v>
      </c>
      <c r="C4" s="22">
        <f>AVERAGE(FD!E2:Z28)</f>
        <v>0.21028619528619508</v>
      </c>
      <c r="D4" s="22">
        <f>MEDIAN(FD!E2:Z28)</f>
        <v>0.18</v>
      </c>
      <c r="E4" s="22">
        <f>MAX(FD!E2:Z28)</f>
        <v>0.57999999999999996</v>
      </c>
      <c r="F4" s="22">
        <f>MIN(FD!E2:Z28)</f>
        <v>0.03</v>
      </c>
      <c r="G4" s="22">
        <f>_xlfn.STDEV.S(FD!E2:Z28)</f>
        <v>0.11248122456630197</v>
      </c>
      <c r="H4" s="22">
        <f>SKEW(FD!E2:Z28)</f>
        <v>0.85976765188131099</v>
      </c>
      <c r="I4" s="22">
        <f>KURT(FD!E2:Z28)</f>
        <v>9.1017721924040007E-2</v>
      </c>
      <c r="J4" s="22" t="s">
        <v>332</v>
      </c>
    </row>
    <row r="5" spans="1:11" ht="14.25" customHeight="1" x14ac:dyDescent="0.3">
      <c r="A5" s="22" t="s">
        <v>333</v>
      </c>
      <c r="B5" s="22" t="s">
        <v>334</v>
      </c>
      <c r="C5" s="22">
        <f>AVERAGE(INST!B2:W28)</f>
        <v>0.50755892255892276</v>
      </c>
      <c r="D5" s="22">
        <f>MEDIAN(INST!B2:W28)</f>
        <v>0.51</v>
      </c>
      <c r="E5" s="22">
        <f>MAX(INST!B2:W28)</f>
        <v>0.74</v>
      </c>
      <c r="F5" s="22">
        <f>MIN(INST!B2:W28)</f>
        <v>0.23</v>
      </c>
      <c r="G5" s="22">
        <f>_xlfn.STDEV.S(INST!B2:W28)</f>
        <v>9.5548125286253394E-2</v>
      </c>
      <c r="H5" s="22">
        <f>SKEW(INST!B2:W28)</f>
        <v>-0.44581071713001441</v>
      </c>
      <c r="I5" s="22">
        <f>KURT(INST!B2:W28)</f>
        <v>1.3276187541862328E-2</v>
      </c>
      <c r="J5" s="22" t="s">
        <v>335</v>
      </c>
    </row>
    <row r="6" spans="1:11" ht="14.25" customHeight="1" x14ac:dyDescent="0.3">
      <c r="A6" s="22" t="s">
        <v>336</v>
      </c>
      <c r="B6" s="22" t="s">
        <v>337</v>
      </c>
      <c r="C6" s="22">
        <f>AVERAGE(RGDPPC!E2:Z28)</f>
        <v>6817520.4228051864</v>
      </c>
      <c r="D6" s="22">
        <f>MEDIAN(RGDPPC!E2:Z28)</f>
        <v>3622432.4339040183</v>
      </c>
      <c r="E6" s="22">
        <f>MAX(RGDPPC!E2:Z28)</f>
        <v>80201756.905923158</v>
      </c>
      <c r="F6" s="22">
        <f>MIN(RGDPPC!E2:Z28)</f>
        <v>89156.265493842177</v>
      </c>
      <c r="G6" s="22">
        <f>_xlfn.STDEV.S(RGDPPC!E2:Z28)</f>
        <v>11138786.889441242</v>
      </c>
      <c r="H6" s="22">
        <f>SKEW(RGDPPC!E2:Z28)</f>
        <v>4.2590328842559195</v>
      </c>
      <c r="I6" s="22">
        <f>KURT(RGDPPC!E2:Z28)</f>
        <v>20.609829803602942</v>
      </c>
      <c r="J6" s="22" t="s">
        <v>329</v>
      </c>
    </row>
    <row r="7" spans="1:11" ht="14.25" customHeight="1" x14ac:dyDescent="0.3">
      <c r="A7" s="22" t="s">
        <v>338</v>
      </c>
      <c r="B7" s="22" t="s">
        <v>339</v>
      </c>
      <c r="C7" s="22">
        <f>AVERAGE(FDI!E2:Z28)</f>
        <v>2.9933858872053873</v>
      </c>
      <c r="D7" s="22">
        <f>MEDIAN(FDI!E2:Z28)</f>
        <v>1.9922095</v>
      </c>
      <c r="E7" s="22">
        <f>MAX(FDI!E2:Z28)</f>
        <v>34.418259999999997</v>
      </c>
      <c r="F7" s="22">
        <f>MIN(FDI!E2:Z28)</f>
        <v>-17.292100000000001</v>
      </c>
      <c r="G7" s="22">
        <f>_xlfn.STDEV.S(FDI!E2:Z28)</f>
        <v>3.9100854567722201</v>
      </c>
      <c r="H7" s="22">
        <f>SKEW(FDI!E2:Z28)</f>
        <v>1.9286174770285638</v>
      </c>
      <c r="I7" s="22">
        <f>KURT(FDI!E2:Z28)</f>
        <v>12.221939415390224</v>
      </c>
      <c r="J7" s="22" t="s">
        <v>329</v>
      </c>
    </row>
    <row r="8" spans="1:11" ht="14.25" customHeight="1" x14ac:dyDescent="0.3">
      <c r="A8" s="22" t="s">
        <v>340</v>
      </c>
      <c r="B8" s="22" t="s">
        <v>341</v>
      </c>
      <c r="C8" s="22">
        <f>AVERAGE(POP!E2:Z28)</f>
        <v>89935238.471380472</v>
      </c>
      <c r="D8" s="22">
        <f>MEDIAN(POP!E2:Z28)</f>
        <v>21736500</v>
      </c>
      <c r="E8" s="22">
        <f>MAX(POP!E2:Z28)</f>
        <v>1410000000</v>
      </c>
      <c r="F8" s="22">
        <f>MIN(POP!E2:Z28)</f>
        <v>3151345</v>
      </c>
      <c r="G8" s="22">
        <f>_xlfn.STDEV.S(POP!E2:Z28)</f>
        <v>234255683.30569491</v>
      </c>
      <c r="H8" s="22">
        <f>SKEW(POP!E2:Z28)</f>
        <v>4.589028457230472</v>
      </c>
      <c r="I8" s="22">
        <f>KURT(POP!E2:Z28)</f>
        <v>20.472906577388084</v>
      </c>
      <c r="J8" s="22" t="s">
        <v>329</v>
      </c>
    </row>
    <row r="9" spans="1:11" ht="14.25" customHeight="1" x14ac:dyDescent="0.3">
      <c r="A9" s="22" t="s">
        <v>342</v>
      </c>
      <c r="B9" s="22" t="s">
        <v>343</v>
      </c>
      <c r="C9" s="22">
        <f>AVERAGE(FDxINST!E2:Z28)</f>
        <v>0.11267626262626269</v>
      </c>
      <c r="D9" s="22">
        <f>MEDIAN(FDxINST!E2:Z28)</f>
        <v>9.3600000000000003E-2</v>
      </c>
      <c r="E9" s="22">
        <f>MAX(FDxINST!E2:Z28)</f>
        <v>0.38279999999999997</v>
      </c>
      <c r="F9" s="22">
        <f>MIN(FDxINST!E2:Z28)</f>
        <v>1.29E-2</v>
      </c>
      <c r="G9" s="22">
        <f>_xlfn.STDEV.S(FDxINST!E2:Z28)</f>
        <v>7.5264059661524954E-2</v>
      </c>
      <c r="H9" s="22">
        <f>SKEW(FDxINST!E2:Z28)</f>
        <v>1.245818268010783</v>
      </c>
      <c r="I9" s="22">
        <f>KURT(FDxINST!E2:Z28)</f>
        <v>1.3081691562496292</v>
      </c>
      <c r="J9" s="22" t="s">
        <v>329</v>
      </c>
    </row>
    <row r="12" spans="1:11" ht="14.25" customHeight="1" x14ac:dyDescent="0.3">
      <c r="B12" s="22" t="s">
        <v>344</v>
      </c>
      <c r="C12" s="23" t="s">
        <v>327</v>
      </c>
      <c r="D12" s="23" t="s">
        <v>330</v>
      </c>
      <c r="E12" s="23" t="s">
        <v>333</v>
      </c>
      <c r="F12" s="23" t="s">
        <v>345</v>
      </c>
      <c r="G12" s="23" t="s">
        <v>338</v>
      </c>
      <c r="H12" s="23" t="s">
        <v>346</v>
      </c>
      <c r="I12" s="11"/>
      <c r="J12" s="11"/>
      <c r="K12" s="11"/>
    </row>
    <row r="13" spans="1:11" ht="14.25" customHeight="1" x14ac:dyDescent="0.3">
      <c r="B13" s="22" t="s">
        <v>327</v>
      </c>
      <c r="C13" s="24">
        <v>1</v>
      </c>
      <c r="D13" s="25"/>
      <c r="E13" s="25"/>
      <c r="F13" s="25"/>
      <c r="G13" s="25"/>
      <c r="H13" s="25"/>
      <c r="I13" s="11"/>
      <c r="J13" s="11"/>
      <c r="K13" s="11"/>
    </row>
    <row r="14" spans="1:11" ht="14.25" customHeight="1" x14ac:dyDescent="0.3">
      <c r="B14" s="22" t="s">
        <v>330</v>
      </c>
      <c r="C14" s="24">
        <v>-0.69228000000000001</v>
      </c>
      <c r="D14" s="24">
        <v>1</v>
      </c>
      <c r="E14" s="25"/>
      <c r="F14" s="25"/>
      <c r="G14" s="25"/>
      <c r="H14" s="25"/>
      <c r="I14" s="11"/>
      <c r="J14" s="11"/>
      <c r="K14" s="11"/>
    </row>
    <row r="15" spans="1:11" ht="14.25" customHeight="1" x14ac:dyDescent="0.3">
      <c r="B15" s="22" t="s">
        <v>333</v>
      </c>
      <c r="C15" s="24">
        <v>-0.55462999999999996</v>
      </c>
      <c r="D15" s="24">
        <v>0.61841400000000002</v>
      </c>
      <c r="E15" s="24">
        <v>1</v>
      </c>
      <c r="F15" s="25"/>
      <c r="G15" s="25"/>
      <c r="H15" s="25"/>
      <c r="I15" s="11"/>
      <c r="J15" s="11"/>
      <c r="K15" s="11"/>
    </row>
    <row r="16" spans="1:11" ht="14.25" customHeight="1" x14ac:dyDescent="0.3">
      <c r="B16" s="22" t="s">
        <v>345</v>
      </c>
      <c r="C16" s="24">
        <v>-0.55540999999999996</v>
      </c>
      <c r="D16" s="24">
        <v>0.34457300000000002</v>
      </c>
      <c r="E16" s="24">
        <v>0.21441199999999999</v>
      </c>
      <c r="F16" s="24">
        <v>1</v>
      </c>
      <c r="G16" s="25"/>
      <c r="H16" s="25"/>
      <c r="I16" s="11"/>
      <c r="J16" s="11"/>
      <c r="K16" s="11"/>
    </row>
    <row r="17" spans="2:11" ht="14.25" customHeight="1" x14ac:dyDescent="0.3">
      <c r="B17" s="22" t="s">
        <v>338</v>
      </c>
      <c r="C17" s="24">
        <v>-0.31258999999999998</v>
      </c>
      <c r="D17" s="24">
        <v>0.15179999999999999</v>
      </c>
      <c r="E17" s="24">
        <v>0.30841400000000002</v>
      </c>
      <c r="F17" s="24">
        <v>0.49147400000000002</v>
      </c>
      <c r="G17" s="24">
        <v>1</v>
      </c>
      <c r="H17" s="25"/>
      <c r="I17" s="11"/>
      <c r="J17" s="11"/>
      <c r="K17" s="11"/>
    </row>
    <row r="18" spans="2:11" ht="14.25" customHeight="1" x14ac:dyDescent="0.3">
      <c r="B18" s="22" t="s">
        <v>346</v>
      </c>
      <c r="C18" s="24">
        <v>-7.1959999999999996E-2</v>
      </c>
      <c r="D18" s="24">
        <v>0.50169299999999994</v>
      </c>
      <c r="E18" s="24">
        <v>0.26971299999999998</v>
      </c>
      <c r="F18" s="24">
        <v>-0.13671</v>
      </c>
      <c r="G18" s="24">
        <v>-0.21590999999999999</v>
      </c>
      <c r="H18" s="24">
        <v>1</v>
      </c>
      <c r="I18" s="11"/>
      <c r="J18" s="11"/>
      <c r="K18" s="11"/>
    </row>
    <row r="19" spans="2:11" ht="14.25" customHeight="1" x14ac:dyDescent="0.3"/>
    <row r="20" spans="2:11" ht="14.25" customHeight="1" x14ac:dyDescent="0.3"/>
    <row r="21" spans="2:11" ht="14.25" customHeight="1" x14ac:dyDescent="0.3"/>
    <row r="22" spans="2:11" ht="14.25" customHeight="1" x14ac:dyDescent="0.3"/>
    <row r="23" spans="2:11" ht="14.25" customHeight="1" x14ac:dyDescent="0.3"/>
    <row r="24" spans="2:11" ht="14.25" customHeight="1" x14ac:dyDescent="0.3"/>
    <row r="25" spans="2:11" ht="14.25" customHeight="1" x14ac:dyDescent="0.3"/>
    <row r="26" spans="2:11" ht="14.25" customHeight="1" x14ac:dyDescent="0.3"/>
    <row r="27" spans="2:11" ht="14.25" customHeight="1" x14ac:dyDescent="0.3"/>
    <row r="28" spans="2:11" ht="14.25" customHeight="1" x14ac:dyDescent="0.3"/>
    <row r="29" spans="2:11" ht="14.25" customHeight="1" x14ac:dyDescent="0.3"/>
    <row r="30" spans="2:11" ht="14.25" customHeight="1" x14ac:dyDescent="0.3"/>
    <row r="31" spans="2:11" ht="14.25" customHeight="1" x14ac:dyDescent="0.3"/>
    <row r="32" spans="2: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FD</vt:lpstr>
      <vt:lpstr>FD all indicators</vt:lpstr>
      <vt:lpstr>INST</vt:lpstr>
      <vt:lpstr>INST all indicators</vt:lpstr>
      <vt:lpstr>Graphs of FD &amp; INST</vt:lpstr>
      <vt:lpstr>FDxINST</vt:lpstr>
      <vt:lpstr>REN</vt:lpstr>
      <vt:lpstr>RGDPPC</vt:lpstr>
      <vt:lpstr>POP</vt:lpstr>
      <vt:lpstr>FDI</vt:lpstr>
      <vt:lpstr>APPENDIX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Amish K Singhal</dc:creator>
  <cp:lastModifiedBy>Arrush Nair</cp:lastModifiedBy>
  <dcterms:created xsi:type="dcterms:W3CDTF">2015-06-05T18:17:20Z</dcterms:created>
  <dcterms:modified xsi:type="dcterms:W3CDTF">2025-04-02T19:51:30Z</dcterms:modified>
</cp:coreProperties>
</file>